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요약" sheetId="1" r:id="rId1"/>
    <sheet name="전체 실적" sheetId="2" r:id="rId2"/>
    <sheet name="확정 실적" sheetId="3" r:id="rId3"/>
    <sheet name="전망치" sheetId="4" r:id="rId4"/>
    <sheet name="기업 마스터" sheetId="5" r:id="rId5"/>
    <sheet name="데이터 사전" sheetId="6" r:id="rId6"/>
  </sheets>
  <calcPr calcId="124519" fullCalcOnLoad="1"/>
</workbook>
</file>

<file path=xl/sharedStrings.xml><?xml version="1.0" encoding="utf-8"?>
<sst xmlns="http://schemas.openxmlformats.org/spreadsheetml/2006/main" count="17595" uniqueCount="1622">
  <si>
    <t>Memory Claude 실적 데이터</t>
  </si>
  <si>
    <t>기준일 2026-09-16 · 원본 DB: data/memory_claude.db</t>
  </si>
  <si>
    <t>데이터 현황</t>
  </si>
  <si>
    <t>전체 실적</t>
  </si>
  <si>
    <t>확정 실적</t>
  </si>
  <si>
    <t>전망치</t>
  </si>
  <si>
    <t>실적 보유 기업</t>
  </si>
  <si>
    <t>구분</t>
  </si>
  <si>
    <t>행 수</t>
  </si>
  <si>
    <t>비중</t>
  </si>
  <si>
    <t>확정</t>
  </si>
  <si>
    <t>전망</t>
  </si>
  <si>
    <t>합계</t>
  </si>
  <si>
    <t>단위</t>
  </si>
  <si>
    <t>B_USD</t>
  </si>
  <si>
    <t>T_KRW</t>
  </si>
  <si>
    <t>사용 시 주의사항</t>
  </si>
  <si>
    <t>• 확정 실적: 2020-Q1~2026-Q2, 전망치: 2026-Q3 이후. is_forecast 열이 최종 판별 기준입니다.</t>
  </si>
  <si>
    <t>• B_USD와 T_KRW가 혼재하므로 서로 다른 unit 값은 직접 합산하지 마십시오.</t>
  </si>
  <si>
    <t>• 빈 셀은 DB에 값이 없는 항목입니다. 0으로 해석하지 마십시오.</t>
  </si>
  <si>
    <t>• source 열은 DB 원문을 그대로 보존했습니다. URL이 아닌 설명형 출처도 포함될 수 있습니다.</t>
  </si>
  <si>
    <t>ID</t>
  </si>
  <si>
    <t>기업 ID</t>
  </si>
  <si>
    <t>기업명(한글)</t>
  </si>
  <si>
    <t>기업명(영문)</t>
  </si>
  <si>
    <t>레이어</t>
  </si>
  <si>
    <t>티커</t>
  </si>
  <si>
    <t>분기</t>
  </si>
  <si>
    <t>전망 플래그</t>
  </si>
  <si>
    <t>발표일</t>
  </si>
  <si>
    <t>매출</t>
  </si>
  <si>
    <t>영업이익</t>
  </si>
  <si>
    <t>순이익</t>
  </si>
  <si>
    <t>EPS 실제</t>
  </si>
  <si>
    <t>EPS 컨센서스</t>
  </si>
  <si>
    <t>매출 컨센서스</t>
  </si>
  <si>
    <t>Beat/Miss</t>
  </si>
  <si>
    <t>매출총이익률(%)</t>
  </si>
  <si>
    <t>영업이익률(%)</t>
  </si>
  <si>
    <t>Capex</t>
  </si>
  <si>
    <t>매출 세부</t>
  </si>
  <si>
    <t>다음 분기 가이던스</t>
  </si>
  <si>
    <t>핵심 포인트</t>
  </si>
  <si>
    <t>출처</t>
  </si>
  <si>
    <t>생성일시</t>
  </si>
  <si>
    <t>AMAZON</t>
  </si>
  <si>
    <t>아마존</t>
  </si>
  <si>
    <t>Amazon/AWS</t>
  </si>
  <si>
    <t>L2_HYPERSCALER</t>
  </si>
  <si>
    <t>AMZN</t>
  </si>
  <si>
    <t>2020-Q1</t>
  </si>
  <si>
    <t>2020-04-30</t>
  </si>
  <si>
    <t>MISS</t>
  </si>
  <si>
    <t>전자상거래:88%, AWS:12%</t>
  </si>
  <si>
    <t>코로나 물류 폭증, 안전 비용 $4B+ 지출</t>
  </si>
  <si>
    <t>Amazon IR 2020-Q1</t>
  </si>
  <si>
    <t>2026-09-11 03:36:05</t>
  </si>
  <si>
    <t>2020-Q2</t>
  </si>
  <si>
    <t>2020-07-30</t>
  </si>
  <si>
    <t>BEAT</t>
  </si>
  <si>
    <t>이커머스 대폭발, AWS 성장 +29%</t>
  </si>
  <si>
    <t>Amazon IR 2020-Q2</t>
  </si>
  <si>
    <t>2020-Q3</t>
  </si>
  <si>
    <t>2020-10-29</t>
  </si>
  <si>
    <t>프라임데이 호조, 분기 매출 $96B</t>
  </si>
  <si>
    <t>Amazon IR 2020-Q3</t>
  </si>
  <si>
    <t>2020-Q4</t>
  </si>
  <si>
    <t>2021-02-02</t>
  </si>
  <si>
    <t>전자상거래:89%, AWS:11%</t>
  </si>
  <si>
    <t>분기 매출 $100B 최초 돌파, 연간 $386.1B(+38%)</t>
  </si>
  <si>
    <t>Amazon IR 2020-Q4</t>
  </si>
  <si>
    <t>2021-Q1</t>
  </si>
  <si>
    <t>2021-04-29</t>
  </si>
  <si>
    <t>AWS 영업이익 급증 ($4.2B), 분기 첫 $100B+ 확정</t>
  </si>
  <si>
    <t>Amazon IR 2021-Q1</t>
  </si>
  <si>
    <t>2021-Q2</t>
  </si>
  <si>
    <t>2021-07-29</t>
  </si>
  <si>
    <t>전자상거래:87%, AWS:13%</t>
  </si>
  <si>
    <t>제프 베조스 CEO 사임 (Andy Jassy 취임)</t>
  </si>
  <si>
    <t>Amazon IR 2021-Q2</t>
  </si>
  <si>
    <t>2021-Q3</t>
  </si>
  <si>
    <t>2021-10-28</t>
  </si>
  <si>
    <t>전자상거래:86%, AWS:14%</t>
  </si>
  <si>
    <t>물류비·임금 급등, 공급망 차질 부담</t>
  </si>
  <si>
    <t>Amazon IR 2021-Q3</t>
  </si>
  <si>
    <t>2021-Q4</t>
  </si>
  <si>
    <t>2022-02-03</t>
  </si>
  <si>
    <t>리비안 투자 평가익 $11.8B 반영, 연간 $469.8B</t>
  </si>
  <si>
    <t>Amazon IR 2021-Q4</t>
  </si>
  <si>
    <t>2022-Q1</t>
  </si>
  <si>
    <t>2022-04-28</t>
  </si>
  <si>
    <t>물류 과잉 투자 충격, 리비안 평가손실, 사상 첫 분기 순손실</t>
  </si>
  <si>
    <t>Amazon IR 2022-Q1</t>
  </si>
  <si>
    <t>2022-Q2</t>
  </si>
  <si>
    <t>2022-07-28</t>
  </si>
  <si>
    <t>전자상거래:84%, AWS:16%</t>
  </si>
  <si>
    <t>물류창고 축소, AWS 성장 +33%</t>
  </si>
  <si>
    <t>Amazon IR 2022-Q2</t>
  </si>
  <si>
    <t>2022-Q3</t>
  </si>
  <si>
    <t>2022-10-27</t>
  </si>
  <si>
    <t>INLINE</t>
  </si>
  <si>
    <t>AWS +27%, 광고 매출 $9.5B 신기록</t>
  </si>
  <si>
    <t>Amazon IR 2022-Q3</t>
  </si>
  <si>
    <t>2022-Q4</t>
  </si>
  <si>
    <t>2023-02-02</t>
  </si>
  <si>
    <t>27,000명 감원, AWS +20% 둔화, 연간 $514.0B</t>
  </si>
  <si>
    <t>Amazon IR 2022-Q4</t>
  </si>
  <si>
    <t>2023-Q1</t>
  </si>
  <si>
    <t>2023-04-27</t>
  </si>
  <si>
    <t>전자상거래:83%, AWS:17%</t>
  </si>
  <si>
    <t>비용 절감 효과 본격화, AWS Bedrock 런칭</t>
  </si>
  <si>
    <t>Amazon IR 2023-Q1</t>
  </si>
  <si>
    <t>2023-Q2</t>
  </si>
  <si>
    <t>2023-08-03</t>
  </si>
  <si>
    <t>북미 커머스 흑자 전환, AWS +12% 바닥 확인</t>
  </si>
  <si>
    <t>Amazon IR 2023-Q2</t>
  </si>
  <si>
    <t>2023-Q3</t>
  </si>
  <si>
    <t>2023-10-26</t>
  </si>
  <si>
    <t>앤트로픽 $4B 투자, AWS +12%→회복 시작</t>
  </si>
  <si>
    <t>Amazon IR 2023-Q3</t>
  </si>
  <si>
    <t>2023-Q4</t>
  </si>
  <si>
    <t>2024-02-01</t>
  </si>
  <si>
    <t>영업이익 역대 최고 $13.2B, 연간 $574.8B</t>
  </si>
  <si>
    <t>Amazon IR 2023-Q4</t>
  </si>
  <si>
    <t>2024-Q1</t>
  </si>
  <si>
    <t>2024-04-30</t>
  </si>
  <si>
    <t>AWS 연환산 매출 $100B 돌파, +17% 재가속</t>
  </si>
  <si>
    <t>Amazon IR 2024-Q1</t>
  </si>
  <si>
    <t>2024-Q2</t>
  </si>
  <si>
    <t>2024-08-01</t>
  </si>
  <si>
    <t>전자상거래:82%, AWS:18%</t>
  </si>
  <si>
    <t>Trainium/Inferentia 자체 AI 칩 고객 확대</t>
  </si>
  <si>
    <t>Amazon IR 2024-Q2</t>
  </si>
  <si>
    <t>2024-Q3</t>
  </si>
  <si>
    <t>2024-10-31</t>
  </si>
  <si>
    <t>AWS +19% 재가속, 광고 +19%</t>
  </si>
  <si>
    <t>Amazon IR 2024-Q3</t>
  </si>
  <si>
    <t>2024-Q4</t>
  </si>
  <si>
    <t>2025-02-06</t>
  </si>
  <si>
    <t>분기 매출 $187B 사상 최대, 연간 $637.9B</t>
  </si>
  <si>
    <t>Amazon IR 2024-Q4</t>
  </si>
  <si>
    <t>2025-Q1</t>
  </si>
  <si>
    <t>2025-05-01</t>
  </si>
  <si>
    <t>전자상거래:81%, AWS:19%</t>
  </si>
  <si>
    <t>Trainium2 대규모 배포, AWS +17%</t>
  </si>
  <si>
    <t>Amazon IR 2025-Q1</t>
  </si>
  <si>
    <t>2025-Q2</t>
  </si>
  <si>
    <t>2025-07-31</t>
  </si>
  <si>
    <t>AWS Bedrock 입점 기업 급증, Anthropic 모델 통합</t>
  </si>
  <si>
    <t>Amazon IR 2025-Q2</t>
  </si>
  <si>
    <t>2026-Q1</t>
  </si>
  <si>
    <t>2026-04-30</t>
  </si>
  <si>
    <t>전자상거래:79%, AWS:21%</t>
  </si>
  <si>
    <t>AWS 분기 매출 $39B, 원자력 PPA 효과 반영</t>
  </si>
  <si>
    <t>Amazon IR 2026-Q1</t>
  </si>
  <si>
    <t>2026-Q2</t>
  </si>
  <si>
    <t>2026-07-31</t>
  </si>
  <si>
    <t>로봇 물류 완전 자동화, AWS AI 매출 비중 30%+</t>
  </si>
  <si>
    <t>Amazon IR 2026-Q2</t>
  </si>
  <si>
    <t>2026-Q3</t>
  </si>
  <si>
    <t>전자상거래:78%, AWS:22%</t>
  </si>
  <si>
    <t>컨센서스: 글로벌 AI 클라우드 1위 공고화</t>
  </si>
  <si>
    <t>월가 컨센서스 (2026-09)</t>
  </si>
  <si>
    <t>2026-Q4</t>
  </si>
  <si>
    <t>컨센서스: 연간 영업이익 $110B, 매출 $835B</t>
  </si>
  <si>
    <t>GOOGLE</t>
  </si>
  <si>
    <t>구글</t>
  </si>
  <si>
    <t>Alphabet/Google</t>
  </si>
  <si>
    <t>GOOGL</t>
  </si>
  <si>
    <t>2020-04-28</t>
  </si>
  <si>
    <t>광고:82%, GCP:7%, 기타:11%</t>
  </si>
  <si>
    <t>코로나 초기 여행 광고 급감</t>
  </si>
  <si>
    <t>Alphabet IR 2020-Q1</t>
  </si>
  <si>
    <t>광고:78%, GCP:8%, 기타:14%</t>
  </si>
  <si>
    <t>사상 최초 분기 매출 역성장(-2%)</t>
  </si>
  <si>
    <t>Alphabet IR 2020-Q2</t>
  </si>
  <si>
    <t>광고:80%, GCP:7%, 기타:13%</t>
  </si>
  <si>
    <t>광고 수요 급반등, 유튜브 호조</t>
  </si>
  <si>
    <t>Alphabet IR 2020-Q3</t>
  </si>
  <si>
    <t>광고:81%, GCP:7%, 기타:12%</t>
  </si>
  <si>
    <t>전자상거래 광고 사상 최대, 연간 $182.5B(+13%)</t>
  </si>
  <si>
    <t>Alphabet IR 2020-Q4</t>
  </si>
  <si>
    <t>2021-04-27</t>
  </si>
  <si>
    <t>영업이익률 30% 돌파, 자사주 매입 $50B</t>
  </si>
  <si>
    <t>Alphabet IR 2021-Q1</t>
  </si>
  <si>
    <t>2021-07-27</t>
  </si>
  <si>
    <t>광고:82%, GCP:8%, 기타:10%</t>
  </si>
  <si>
    <t>유튜브 광고 +84% YoY 폭증</t>
  </si>
  <si>
    <t>Alphabet IR 2021-Q2</t>
  </si>
  <si>
    <t>2021-10-26</t>
  </si>
  <si>
    <t>GCP 손실 폭 축소(-$644M), Pixel 6 발표</t>
  </si>
  <si>
    <t>Alphabet IR 2021-Q3</t>
  </si>
  <si>
    <t>2022-02-01</t>
  </si>
  <si>
    <t>연간 매출 $257.6B(+41%), 20:1 주식분할 발표</t>
  </si>
  <si>
    <t>Alphabet IR 2021-Q4</t>
  </si>
  <si>
    <t>2022-04-26</t>
  </si>
  <si>
    <t>광고:80%, GCP:9%, 기타:11%</t>
  </si>
  <si>
    <t>우크라이나 전쟁 여파, 유럽 광고 약세</t>
  </si>
  <si>
    <t>Alphabet IR 2022-Q1</t>
  </si>
  <si>
    <t>2022-07-26</t>
  </si>
  <si>
    <t>광고:81%, GCP:9%, 기타:10%</t>
  </si>
  <si>
    <t>환율 악영향, 유튜브 매출 첫 QoQ 감소</t>
  </si>
  <si>
    <t>Alphabet IR 2022-Q2</t>
  </si>
  <si>
    <t>2022-10-25</t>
  </si>
  <si>
    <t>광고:79%, GCP:10%, 기타:11%</t>
  </si>
  <si>
    <t>디지털 광고 성장 정체, 12,000명 감원 검토</t>
  </si>
  <si>
    <t>Alphabet IR 2022-Q3</t>
  </si>
  <si>
    <t>광고:78%, GCP:10%, 기타:12%</t>
  </si>
  <si>
    <t>12,000명 대규모 구조조정 발표, Bard AI 공개</t>
  </si>
  <si>
    <t>Alphabet IR 2022-Q4</t>
  </si>
  <si>
    <t>2023-04-25</t>
  </si>
  <si>
    <t>광고:78%, GCP:11%, 기타:11%</t>
  </si>
  <si>
    <t>GCP 사상 첫 영업이익 흑자 달성 (+$191M)</t>
  </si>
  <si>
    <t>Alphabet IR 2023-Q1</t>
  </si>
  <si>
    <t>2023-07-25</t>
  </si>
  <si>
    <t>검색 광고 재반등, GCP 영업이익 $395M</t>
  </si>
  <si>
    <t>Alphabet IR 2023-Q2</t>
  </si>
  <si>
    <t>2023-10-24</t>
  </si>
  <si>
    <t>GCP 영업이익 $266M, Gemini 1.0 개발 완료</t>
  </si>
  <si>
    <t>Alphabet IR 2023-Q3</t>
  </si>
  <si>
    <t>2024-01-30</t>
  </si>
  <si>
    <t>광고:76%, GCP:11%, 기타:13%</t>
  </si>
  <si>
    <t>Gemini 1.0 출시, 연간 $307.4B(+9%), GCP 연간 최초 흑자</t>
  </si>
  <si>
    <t>Alphabet IR 2023-Q4</t>
  </si>
  <si>
    <t>2024-04-25</t>
  </si>
  <si>
    <t>광고:76%, GCP:12%, 기타:12%</t>
  </si>
  <si>
    <t>사상 최초 분기 배당 실시($0.20/주), GCP 영업이익 $900M</t>
  </si>
  <si>
    <t>Alphabet IR 2024-Q1</t>
  </si>
  <si>
    <t>2024-07-23</t>
  </si>
  <si>
    <t>GCP 분기 매출 $10.3B 돌파, 유튜브 $8.7B</t>
  </si>
  <si>
    <t>Alphabet IR 2024-Q2</t>
  </si>
  <si>
    <t>2024-10-29</t>
  </si>
  <si>
    <t>광고:75%, GCP:13%, 기타:12%</t>
  </si>
  <si>
    <t>AI Overviews 검색 전면 적용, GCP 영업이익 $1.95B</t>
  </si>
  <si>
    <t>Alphabet IR 2024-Q3</t>
  </si>
  <si>
    <t>2025-02-04</t>
  </si>
  <si>
    <t>광고:74%, GCP:14%, 기타:12%</t>
  </si>
  <si>
    <t>연간 $350.0B(+14%), 자체 TPU v5p/Trillium 가속기 대량 배치</t>
  </si>
  <si>
    <t>Alphabet IR 2024-Q4</t>
  </si>
  <si>
    <t>2025-04-24</t>
  </si>
  <si>
    <t>광고:73%, GCP:15%, 기타:12%</t>
  </si>
  <si>
    <t>TPU v6 대규모 클라우드 배치, Gemini 2.0 Pro 상용화</t>
  </si>
  <si>
    <t>Alphabet IR 2025-Q1</t>
  </si>
  <si>
    <t>2025-07-23</t>
  </si>
  <si>
    <t>광고:72%, GCP:16%, 기타:12%</t>
  </si>
  <si>
    <t>분기 매출 첫 $95B+ 달성, Waymo 상용화 확대</t>
  </si>
  <si>
    <t>Alphabet 2025-Q2 official earnings release</t>
  </si>
  <si>
    <t>2026-04-29</t>
  </si>
  <si>
    <t>광고:70%, GCP:18%, 기타:12%</t>
  </si>
  <si>
    <t>Gemini 차세대 멀티모달 생태계, GCP 분기 $20B 진입</t>
  </si>
  <si>
    <t>Alphabet IR 2026-Q1</t>
  </si>
  <si>
    <t>2026-07-29</t>
  </si>
  <si>
    <t>AI 에이전트 검색 트랜잭션 수익 모델 도입</t>
  </si>
  <si>
    <t>Alphabet IR 2026-Q2</t>
  </si>
  <si>
    <t>광고:69%, GCP:19%</t>
  </si>
  <si>
    <t>컨센서스: TPU 외부 클라우드 판매 개시</t>
  </si>
  <si>
    <t>광고:68%, GCP:20%</t>
  </si>
  <si>
    <t>컨센서스: 연간 매출 $488B, GCP $72B</t>
  </si>
  <si>
    <t>META</t>
  </si>
  <si>
    <t>메타</t>
  </si>
  <si>
    <t>Meta Platforms</t>
  </si>
  <si>
    <t>2020-04-29</t>
  </si>
  <si>
    <t>광고:98%, 기타:2%</t>
  </si>
  <si>
    <t>코로나 초기 광고 타격, 이후 빠른 회복</t>
  </si>
  <si>
    <t>Meta IR 2020-Q1</t>
  </si>
  <si>
    <t>이커머스 및 중소기업 디지털 전환 수혜</t>
  </si>
  <si>
    <t>Meta IR 2020-Q2</t>
  </si>
  <si>
    <t>광고 회복, MAU 27.4억 명</t>
  </si>
  <si>
    <t>Meta IR 2020-Q3</t>
  </si>
  <si>
    <t>2021-01-27</t>
  </si>
  <si>
    <t>광고:97%, FRL:3%</t>
  </si>
  <si>
    <t>역대 최대 분기 매출, 연간 $86.0B(+22%)</t>
  </si>
  <si>
    <t>Meta IR 2020-Q4</t>
  </si>
  <si>
    <t>2021-04-28</t>
  </si>
  <si>
    <t>애플 ATT 정책 도입 직전 호황, DAU 18.8억</t>
  </si>
  <si>
    <t>Meta IR 2021-Q1</t>
  </si>
  <si>
    <t>2021-07-28</t>
  </si>
  <si>
    <t>광고:98%, FRL:2%</t>
  </si>
  <si>
    <t>영업이익률 43%, iOS ATT 영향 서서히 시작</t>
  </si>
  <si>
    <t>Meta IR 2021-Q2</t>
  </si>
  <si>
    <t>2021-10-25</t>
  </si>
  <si>
    <t>사명 메타로 변경 발표 (2021-10-28)</t>
  </si>
  <si>
    <t>Meta IR 2021-Q3</t>
  </si>
  <si>
    <t>2022-02-02</t>
  </si>
  <si>
    <t>광고:97%, Reality Labs:3%</t>
  </si>
  <si>
    <t>일일 사용자 사상 첫 감소 충격(-1M), 주가 -26% 폭락</t>
  </si>
  <si>
    <t>Meta IR 2021-Q4</t>
  </si>
  <si>
    <t>2022-04-27</t>
  </si>
  <si>
    <t>광고:97%, RL:3%</t>
  </si>
  <si>
    <t>애플 프라이버시 정책 영향 $10B 타격 추정, TikTok 경쟁</t>
  </si>
  <si>
    <t>Meta IR 2022-Q1</t>
  </si>
  <si>
    <t>2022-07-27</t>
  </si>
  <si>
    <t>광고:98%, RL:2%</t>
  </si>
  <si>
    <t>사상 첫 분기 매출 역성장(-1%), 메타버스 적자 확대</t>
  </si>
  <si>
    <t>Meta IR 2022-Q2</t>
  </si>
  <si>
    <t>2022-10-26</t>
  </si>
  <si>
    <t>광고:99%, RL:1%</t>
  </si>
  <si>
    <t>메타버스 Reality Labs 분기 적자 $3.7B, 주가 연초비 -70%</t>
  </si>
  <si>
    <t>Meta IR 2022-Q3</t>
  </si>
  <si>
    <t>2023-02-01</t>
  </si>
  <si>
    <t>11,000명(13%) 대규모 감원 선언, '효율성의 해' 시작</t>
  </si>
  <si>
    <t>Meta IR 2022-Q4</t>
  </si>
  <si>
    <t>2023-04-26</t>
  </si>
  <si>
    <t>비용 절감 가시화, 주가 반등 시작</t>
  </si>
  <si>
    <t>Meta IR 2023-Q1</t>
  </si>
  <si>
    <t>2023-07-26</t>
  </si>
  <si>
    <t>릴스(Reels) AI 추천 수익화 성공, MAU 30억 돌파</t>
  </si>
  <si>
    <t>Meta IR 2023-Q2</t>
  </si>
  <si>
    <t>2023-10-25</t>
  </si>
  <si>
    <t>Llama 2 오픈소스 발표, 영업이익률 40% 회복</t>
  </si>
  <si>
    <t>Meta IR 2023-Q3</t>
  </si>
  <si>
    <t>사상 최초 배당 발표($0.50), 주가 +20% 점프, 연간 $134.9B</t>
  </si>
  <si>
    <t>Meta IR 2023-Q4</t>
  </si>
  <si>
    <t>2024-04-24</t>
  </si>
  <si>
    <t>Llama 3 발표, 2024 Capex 가이던스 $35B~$40B 상향</t>
  </si>
  <si>
    <t>Meta IR 2024-Q1</t>
  </si>
  <si>
    <t>2024-07-31</t>
  </si>
  <si>
    <t>AI 기반 광고 타겟팅 복원 완료, Advantage+ 채택 확대</t>
  </si>
  <si>
    <t>Meta IR 2024-Q2</t>
  </si>
  <si>
    <t>2024-10-30</t>
  </si>
  <si>
    <t>Meta AI MAU 5억 명, Llama 3.2 멀티모달 출시</t>
  </si>
  <si>
    <t>Meta IR 2024-Q3</t>
  </si>
  <si>
    <t>2025-01-29</t>
  </si>
  <si>
    <t>연간 $164.5B(+22%), Blackwell GPU 10만+ 장 확보</t>
  </si>
  <si>
    <t>Meta IR 2024-Q4</t>
  </si>
  <si>
    <t>2025-04-30</t>
  </si>
  <si>
    <t>광고:98%, 스마트글래스/RL:2%</t>
  </si>
  <si>
    <t>Llama 4 Scout/Maverick 출시, Orion AR 안경 호평</t>
  </si>
  <si>
    <t>Meta IR 2025-Q1</t>
  </si>
  <si>
    <t>2025-07-30</t>
  </si>
  <si>
    <t>자체 MTIA v2 칩셋 대량 배치, AI 광고 ROAS 역대급</t>
  </si>
  <si>
    <t>Meta 2025-Q2 official earnings release</t>
  </si>
  <si>
    <t>광고:97%, 스마트글래스/RL:3%</t>
  </si>
  <si>
    <t>AI 인플루언서 커머스 생태계 확장</t>
  </si>
  <si>
    <t>Meta IR 2026-Q1</t>
  </si>
  <si>
    <t>2026-07-30</t>
  </si>
  <si>
    <t>광고:97%, 기타:3%</t>
  </si>
  <si>
    <t>스마트글래스 대중화, 영업이익률 45%</t>
  </si>
  <si>
    <t>Meta IR 2026-Q2</t>
  </si>
  <si>
    <t>광고:96%, 기타:4%</t>
  </si>
  <si>
    <t>컨센서스: AI 자동 광고 크리에이티브 풀 런칭</t>
  </si>
  <si>
    <t>컨센서스: 연간 매출 $250B, 순이익 $104B</t>
  </si>
  <si>
    <t>MICROSOFT</t>
  </si>
  <si>
    <t>마이크로소프트</t>
  </si>
  <si>
    <t>Microsoft</t>
  </si>
  <si>
    <t>MSFT</t>
  </si>
  <si>
    <t>Intelligent Cloud:35%, Productivity:33%, Personal Computing:32%</t>
  </si>
  <si>
    <t>Teams·원격 클라우드 사용 급증, Azure +59%</t>
  </si>
  <si>
    <t>Microsoft IR FY20 Q3</t>
  </si>
  <si>
    <t>2020-07-22</t>
  </si>
  <si>
    <t>Intelligent Cloud:37%, Productivity:31%, Personal Computing:32%</t>
  </si>
  <si>
    <t>상업용 클라우드 연간 $50B 돌파</t>
  </si>
  <si>
    <t>Microsoft IR FY20 Q4</t>
  </si>
  <si>
    <t>2020-10-27</t>
  </si>
  <si>
    <t>Azure +48%, Xbox 차세대 출시 준비</t>
  </si>
  <si>
    <t>Microsoft IR FY21 Q1</t>
  </si>
  <si>
    <t>2021-01-26</t>
  </si>
  <si>
    <t>Intelligent Cloud:34%, Productivity:31%, Personal Computing:35%</t>
  </si>
  <si>
    <t>분기 매출 $40B 최초 돌파, Azure +50%</t>
  </si>
  <si>
    <t>Microsoft IR FY21 Q2</t>
  </si>
  <si>
    <t>Intelligent Cloud:36%, Productivity:32%, Personal Computing:32%</t>
  </si>
  <si>
    <t>PC 및 클라우드 동반 성장, Azure +50%</t>
  </si>
  <si>
    <t>Microsoft IR FY21 Q3</t>
  </si>
  <si>
    <t>Intelligent Cloud:37%, Productivity:32%, Personal Computing:31%</t>
  </si>
  <si>
    <t>FY2021 연간 매출 $168B, Azure +51%</t>
  </si>
  <si>
    <t>Microsoft IR FY21 Q4</t>
  </si>
  <si>
    <t>Intelligent Cloud:37%, Productivity:33%, Personal Computing:30%</t>
  </si>
  <si>
    <t>Azure +50%, 클라우드 총마진 개선</t>
  </si>
  <si>
    <t>Microsoft IR FY22 Q1</t>
  </si>
  <si>
    <t>2022-01-25</t>
  </si>
  <si>
    <t>Intelligent Cloud:35%, Productivity:31%, Personal Computing:34%</t>
  </si>
  <si>
    <t>분기 매출 $50B 돌파, Activision 인수 $68.7B 발표</t>
  </si>
  <si>
    <t>Microsoft IR FY22 Q2</t>
  </si>
  <si>
    <t>Intelligent Cloud:39%, Productivity:32%, Personal Computing:29%</t>
  </si>
  <si>
    <t>Azure +46%, Nuance 인수 완료</t>
  </si>
  <si>
    <t>Microsoft IR FY22 Q3</t>
  </si>
  <si>
    <t>Intelligent Cloud:40%, Productivity:32%, Personal Computing:28%</t>
  </si>
  <si>
    <t>강달러 역풍, Azure +40%, FY2022 연간 $198B</t>
  </si>
  <si>
    <t>Microsoft IR FY22 Q4</t>
  </si>
  <si>
    <t>Intelligent Cloud:41%, Productivity:33%, Personal Computing:26%</t>
  </si>
  <si>
    <t>Azure +35%, 오픈AI 협력 강화</t>
  </si>
  <si>
    <t>Microsoft IR FY23 Q1</t>
  </si>
  <si>
    <t>2023-01-24</t>
  </si>
  <si>
    <t>Intelligent Cloud:41%, Productivity:32%, Personal Computing:27%</t>
  </si>
  <si>
    <t>오픈AI $10B 추가 투자 공식화, PC 시장 침체</t>
  </si>
  <si>
    <t>Microsoft IR FY23 Q2</t>
  </si>
  <si>
    <t>Intelligent Cloud:42%, Productivity:33%, Personal Computing:25%</t>
  </si>
  <si>
    <t>Azure +27%, Copilot 전 제품군 통합 선언</t>
  </si>
  <si>
    <t>Microsoft IR FY23 Q3</t>
  </si>
  <si>
    <t>Intelligent Cloud:43%, Productivity:32%, Personal Computing:25%</t>
  </si>
  <si>
    <t>Azure +26%, FY2023 연간 $212B, AI 인프라 확충 가속</t>
  </si>
  <si>
    <t>Microsoft IR FY23 Q4</t>
  </si>
  <si>
    <t>Intelligent Cloud:43%, Productivity:33%, Personal Computing:24%</t>
  </si>
  <si>
    <t>Azure +29%, Activision Blizzard 인수 완료($68.7B)</t>
  </si>
  <si>
    <t>Microsoft IR FY24 Q1</t>
  </si>
  <si>
    <t>Intelligent Cloud:42%, Productivity:31%, Personal Computing:27%</t>
  </si>
  <si>
    <t>Azure +30%, AI 고객 53,000개사 돌파, Copilot GA</t>
  </si>
  <si>
    <t>Microsoft IR FY24 Q2</t>
  </si>
  <si>
    <t>Azure +31%, AI 수요가 인프라 Capa 초과</t>
  </si>
  <si>
    <t>Microsoft IR FY24 Q3</t>
  </si>
  <si>
    <t>2024-07-30</t>
  </si>
  <si>
    <t>Intelligent Cloud:44%, Productivity:31%, Personal Computing:25%</t>
  </si>
  <si>
    <t>Azure +29%, FY2024 연간 $245B, Capex $19B/분기</t>
  </si>
  <si>
    <t>Microsoft IR FY24 Q4</t>
  </si>
  <si>
    <t>Azure +33%, AI 기여분 12%p, 자체 칩 Maia 투입 확대</t>
  </si>
  <si>
    <t>Microsoft IR FY25 Q1</t>
  </si>
  <si>
    <t>Intelligent Cloud:42%, Productivity:34%, Personal Computing:24%</t>
  </si>
  <si>
    <t>Azure +31%, AI 매출 런레이트 $10B 돌파</t>
  </si>
  <si>
    <t>Microsoft IR FY25 Q2</t>
  </si>
  <si>
    <t>Intelligent Cloud:44%, Productivity:33%, Personal Computing:23%</t>
  </si>
  <si>
    <t>Azure +35%, Copilot 유료 가입자 가속</t>
  </si>
  <si>
    <t>Microsoft IR FY25 Q3</t>
  </si>
  <si>
    <t>Intelligent Cloud:45%, Productivity:32%, Personal Computing:23%</t>
  </si>
  <si>
    <t>Azure +37%, FY2025 연간 $278B, 차세대 원전 PPA 체결</t>
  </si>
  <si>
    <t>Microsoft FY2025-Q4 official earnings release</t>
  </si>
  <si>
    <t>Intelligent Cloud:46%, Productivity:32%, Personal Computing:22%</t>
  </si>
  <si>
    <t>Azure +38%, AI 에이전트 플랫폼 본격 매출 기여</t>
  </si>
  <si>
    <t>Microsoft IR FY26 Q3</t>
  </si>
  <si>
    <t>FY2026 연간 $310B+ 전망, AI Capex 확대 지속</t>
  </si>
  <si>
    <t>Microsoft FY2026-Q4 official GAAP earnings release</t>
  </si>
  <si>
    <t>Intelligent Cloud:47%, 기타:53%</t>
  </si>
  <si>
    <t>컨센서스: 양자 하이브리드 클라우드 상용화</t>
  </si>
  <si>
    <t>컨센서스: 연간 순이익 $130B+ 돌파</t>
  </si>
  <si>
    <t>ORACLE</t>
  </si>
  <si>
    <t>오라클</t>
  </si>
  <si>
    <t>Oracle</t>
  </si>
  <si>
    <t>ORCL</t>
  </si>
  <si>
    <t>2021-09-13</t>
  </si>
  <si>
    <t>SEC XBRL official filing</t>
  </si>
  <si>
    <t>https://www.sec.gov/Archives/edgar/data/1341439/000156459021047772/</t>
  </si>
  <si>
    <t>2026-09-16 10:43:37</t>
  </si>
  <si>
    <t>2021-12-10</t>
  </si>
  <si>
    <t>https://www.sec.gov/Archives/edgar/data/1341439/000156459021060022/</t>
  </si>
  <si>
    <t>2021-03-11</t>
  </si>
  <si>
    <t>https://www.sec.gov/Archives/edgar/data/1341439/000156459021012539/</t>
  </si>
  <si>
    <t>2022-06-21</t>
  </si>
  <si>
    <t>SEC XBRL official filing; Q4 derived as FY minus Q1-Q3 for revenue, op_income, net_income</t>
  </si>
  <si>
    <t>https://www.sec.gov/Archives/edgar/data/1341439/000156459022023675/</t>
  </si>
  <si>
    <t>2022-09-13</t>
  </si>
  <si>
    <t>https://www.sec.gov/Archives/edgar/data/1341439/000156459022031545/</t>
  </si>
  <si>
    <t>2022-12-13</t>
  </si>
  <si>
    <t>https://www.sec.gov/Archives/edgar/data/1341439/000156459022039278/</t>
  </si>
  <si>
    <t>2022-03-11</t>
  </si>
  <si>
    <t>https://www.sec.gov/Archives/edgar/data/1341439/000156459022009859/</t>
  </si>
  <si>
    <t>2023-06-20</t>
  </si>
  <si>
    <t>https://www.sec.gov/Archives/edgar/data/1341439/000095017023028914/</t>
  </si>
  <si>
    <t>2023-09-12</t>
  </si>
  <si>
    <t>https://www.sec.gov/Archives/edgar/data/1341439/000095017023047713/</t>
  </si>
  <si>
    <t>2023-12-12</t>
  </si>
  <si>
    <t>https://www.sec.gov/Archives/edgar/data/1341439/000095017023069682/</t>
  </si>
  <si>
    <t>2023-03-10</t>
  </si>
  <si>
    <t>https://www.sec.gov/Archives/edgar/data/1341439/000156459023003413/</t>
  </si>
  <si>
    <t>2024-06-20</t>
  </si>
  <si>
    <t>https://www.sec.gov/Archives/edgar/data/1341439/000095017024075605/</t>
  </si>
  <si>
    <t>2024-09-10</t>
  </si>
  <si>
    <t>https://www.sec.gov/Archives/edgar/data/1341439/000095017024104905/</t>
  </si>
  <si>
    <t>2024-12-10</t>
  </si>
  <si>
    <t>https://www.sec.gov/Archives/edgar/data/1341439/000095017024134973/</t>
  </si>
  <si>
    <t>2024-03-12</t>
  </si>
  <si>
    <t>https://www.sec.gov/Archives/edgar/data/1341439/000095017024029904/</t>
  </si>
  <si>
    <t>2025-06-18</t>
  </si>
  <si>
    <t>https://www.sec.gov/Archives/edgar/data/1341439/000095017025087926/</t>
  </si>
  <si>
    <t>2025-09-10</t>
  </si>
  <si>
    <t>https://www.sec.gov/Archives/edgar/data/1341439/000119312525200095/</t>
  </si>
  <si>
    <t>2025-12-11</t>
  </si>
  <si>
    <t>https://www.sec.gov/Archives/edgar/data/1341439/000119312525315925/</t>
  </si>
  <si>
    <t>2025-03-11</t>
  </si>
  <si>
    <t>https://www.sec.gov/Archives/edgar/data/1341439/000095017025037143/</t>
  </si>
  <si>
    <t>2026-06-22</t>
  </si>
  <si>
    <t>https://www.sec.gov/Archives/edgar/data/1341439/000119312526277521/</t>
  </si>
  <si>
    <t>2026-09-11</t>
  </si>
  <si>
    <t>https://www.sec.gov/Archives/edgar/data/1341439/000119312526389274/</t>
  </si>
  <si>
    <t>2025-Q3</t>
  </si>
  <si>
    <t>2026-03-11</t>
  </si>
  <si>
    <t>https://www.sec.gov/Archives/edgar/data/1341439/000119312526101045/</t>
  </si>
  <si>
    <t>2025-Q4</t>
  </si>
  <si>
    <t>AMD</t>
  </si>
  <si>
    <t>L3_COMPUTE</t>
  </si>
  <si>
    <t>https://www.sec.gov/Archives/edgar/data/2488/000000248821000056/</t>
  </si>
  <si>
    <t>https://www.sec.gov/Archives/edgar/data/2488/000000248821000116/</t>
  </si>
  <si>
    <t>2021-10-27</t>
  </si>
  <si>
    <t>https://www.sec.gov/Archives/edgar/data/2488/000000248821000178/</t>
  </si>
  <si>
    <t>2023-02-27</t>
  </si>
  <si>
    <t>SEC XBRL official filing; Q4 derived as FY minus Q1-Q3 for revenue, op_income, net_income, gross_profit</t>
  </si>
  <si>
    <t>https://www.sec.gov/Archives/edgar/data/2488/000000248823000047/</t>
  </si>
  <si>
    <t>2022-05-04</t>
  </si>
  <si>
    <t>https://www.sec.gov/Archives/edgar/data/2488/000000248822000078/</t>
  </si>
  <si>
    <t>2022-08-03</t>
  </si>
  <si>
    <t>https://www.sec.gov/Archives/edgar/data/2488/000000248822000123/</t>
  </si>
  <si>
    <t>2022-11-02</t>
  </si>
  <si>
    <t>https://www.sec.gov/Archives/edgar/data/2488/000000248822000170/</t>
  </si>
  <si>
    <t>2024-01-31</t>
  </si>
  <si>
    <t>https://www.sec.gov/Archives/edgar/data/2488/000000248824000012/</t>
  </si>
  <si>
    <t>2023-05-03</t>
  </si>
  <si>
    <t>https://www.sec.gov/Archives/edgar/data/2488/000000248823000076/</t>
  </si>
  <si>
    <t>2023-08-02</t>
  </si>
  <si>
    <t>https://www.sec.gov/Archives/edgar/data/2488/000000248823000139/</t>
  </si>
  <si>
    <t>2023-11-01</t>
  </si>
  <si>
    <t>https://www.sec.gov/Archives/edgar/data/2488/000000248823000195/</t>
  </si>
  <si>
    <t>2025-02-05</t>
  </si>
  <si>
    <t>https://www.sec.gov/Archives/edgar/data/2488/000000248825000012/</t>
  </si>
  <si>
    <t>2024-05-01</t>
  </si>
  <si>
    <t>https://www.sec.gov/Archives/edgar/data/2488/000000248824000056/</t>
  </si>
  <si>
    <t>https://www.sec.gov/Archives/edgar/data/2488/000000248824000123/</t>
  </si>
  <si>
    <t>https://www.sec.gov/Archives/edgar/data/2488/000000248824000163/</t>
  </si>
  <si>
    <t>2026-02-04</t>
  </si>
  <si>
    <t>https://www.sec.gov/Archives/edgar/data/2488/000000248826000018/</t>
  </si>
  <si>
    <t>2025-05-07</t>
  </si>
  <si>
    <t>https://www.sec.gov/Archives/edgar/data/2488/000000248825000047/</t>
  </si>
  <si>
    <t>2025-08-06</t>
  </si>
  <si>
    <t>https://www.sec.gov/Archives/edgar/data/2488/000000248825000108/</t>
  </si>
  <si>
    <t>2025-11-05</t>
  </si>
  <si>
    <t>https://www.sec.gov/Archives/edgar/data/2488/000000248825000166/</t>
  </si>
  <si>
    <t>2026-05-06</t>
  </si>
  <si>
    <t>https://www.sec.gov/Archives/edgar/data/2488/000000248826000076/</t>
  </si>
  <si>
    <t>2026-08-05</t>
  </si>
  <si>
    <t>https://www.sec.gov/Archives/edgar/data/2488/000000248826000123/</t>
  </si>
  <si>
    <t>ARM</t>
  </si>
  <si>
    <t>Arm</t>
  </si>
  <si>
    <t>Arm Holdings</t>
  </si>
  <si>
    <t>2023-11-09</t>
  </si>
  <si>
    <t>https://www.sec.gov/Archives/edgar/data/1973239/000197323923000011/</t>
  </si>
  <si>
    <t>2026-09-16 10:06:35</t>
  </si>
  <si>
    <t>2024-02-08</t>
  </si>
  <si>
    <t>https://www.sec.gov/Archives/edgar/data/1973239/000197323924000004/</t>
  </si>
  <si>
    <t>https://www.sec.gov/Archives/edgar/data/1973239/000197323924000019/</t>
  </si>
  <si>
    <t>2024-11-07</t>
  </si>
  <si>
    <t>https://www.sec.gov/Archives/edgar/data/1973239/000197323924000040/</t>
  </si>
  <si>
    <t>https://www.sec.gov/Archives/edgar/data/1973239/000197323925000007/</t>
  </si>
  <si>
    <t>https://www.sec.gov/Archives/edgar/data/1973239/000197323925000024/</t>
  </si>
  <si>
    <t>https://www.sec.gov/Archives/edgar/data/1973239/000197323925000043/</t>
  </si>
  <si>
    <t>https://www.sec.gov/Archives/edgar/data/1973239/000197323926000006/</t>
  </si>
  <si>
    <t>2026-05-26</t>
  </si>
  <si>
    <t>https://www.sec.gov/Archives/edgar/data/1973239/000197323926000097/</t>
  </si>
  <si>
    <t>https://www.sec.gov/Archives/edgar/data/1973239/000197323926000114/</t>
  </si>
  <si>
    <t>BROADCOM</t>
  </si>
  <si>
    <t>브로드컴</t>
  </si>
  <si>
    <t>Broadcom</t>
  </si>
  <si>
    <t>AVGO</t>
  </si>
  <si>
    <t>2021-03-12</t>
  </si>
  <si>
    <t>https://www.sec.gov/Archives/edgar/data/1730168/000173016821000045/</t>
  </si>
  <si>
    <t>2021-06-11</t>
  </si>
  <si>
    <t>https://www.sec.gov/Archives/edgar/data/1730168/000173016821000116/</t>
  </si>
  <si>
    <t>2021-09-09</t>
  </si>
  <si>
    <t>https://www.sec.gov/Archives/edgar/data/1730168/000173016821000123/</t>
  </si>
  <si>
    <t>2022-12-16</t>
  </si>
  <si>
    <t>https://www.sec.gov/Archives/edgar/data/1730168/000173016822000118/</t>
  </si>
  <si>
    <t>2022-03-10</t>
  </si>
  <si>
    <t>https://www.sec.gov/Archives/edgar/data/1730168/000173016822000029/</t>
  </si>
  <si>
    <t>2022-06-09</t>
  </si>
  <si>
    <t>https://www.sec.gov/Archives/edgar/data/1730168/000173016822000081/</t>
  </si>
  <si>
    <t>2022-09-08</t>
  </si>
  <si>
    <t>https://www.sec.gov/Archives/edgar/data/1730168/000173016822000094/</t>
  </si>
  <si>
    <t>2023-12-14</t>
  </si>
  <si>
    <t>https://www.sec.gov/Archives/edgar/data/1730168/000173016823000096/</t>
  </si>
  <si>
    <t>2023-03-08</t>
  </si>
  <si>
    <t>https://www.sec.gov/Archives/edgar/data/1730168/000173016823000008/</t>
  </si>
  <si>
    <t>2023-06-07</t>
  </si>
  <si>
    <t>https://www.sec.gov/Archives/edgar/data/1730168/000173016823000064/</t>
  </si>
  <si>
    <t>2023-09-06</t>
  </si>
  <si>
    <t>https://www.sec.gov/Archives/edgar/data/1730168/000173016823000077/</t>
  </si>
  <si>
    <t>2024-12-20</t>
  </si>
  <si>
    <t>https://www.sec.gov/Archives/edgar/data/1730168/000173016824000139/</t>
  </si>
  <si>
    <t>2024-03-14</t>
  </si>
  <si>
    <t>https://www.sec.gov/Archives/edgar/data/1730168/000173016824000023/</t>
  </si>
  <si>
    <t>2024-06-13</t>
  </si>
  <si>
    <t>https://www.sec.gov/Archives/edgar/data/1730168/000173016824000080/</t>
  </si>
  <si>
    <t>2024-09-11</t>
  </si>
  <si>
    <t>https://www.sec.gov/Archives/edgar/data/1730168/000173016824000099/</t>
  </si>
  <si>
    <t>2025-12-18</t>
  </si>
  <si>
    <t>https://www.sec.gov/Archives/edgar/data/1730168/000173016825000121/</t>
  </si>
  <si>
    <t>2025-03-12</t>
  </si>
  <si>
    <t>https://www.sec.gov/Archives/edgar/data/1730168/000173016825000021/</t>
  </si>
  <si>
    <t>2025-06-11</t>
  </si>
  <si>
    <t>https://www.sec.gov/Archives/edgar/data/1730168/000173016825000064/</t>
  </si>
  <si>
    <t>https://www.sec.gov/Archives/edgar/data/1730168/000173016825000098/</t>
  </si>
  <si>
    <t>https://www.sec.gov/Archives/edgar/data/1730168/000173016826000016/</t>
  </si>
  <si>
    <t>2026-06-09</t>
  </si>
  <si>
    <t>https://www.sec.gov/Archives/edgar/data/1730168/000173016826000054/</t>
  </si>
  <si>
    <t>2026-09-10</t>
  </si>
  <si>
    <t>https://www.sec.gov/Archives/edgar/data/1730168/000173016826000080/</t>
  </si>
  <si>
    <t>INTEL</t>
  </si>
  <si>
    <t>인텔</t>
  </si>
  <si>
    <t>Intel</t>
  </si>
  <si>
    <t>INTC</t>
  </si>
  <si>
    <t>2021-04-23</t>
  </si>
  <si>
    <t>https://www.sec.gov/Archives/edgar/data/50863/000005086321000018/</t>
  </si>
  <si>
    <t>2021-07-23</t>
  </si>
  <si>
    <t>https://www.sec.gov/Archives/edgar/data/50863/000005086321000030/</t>
  </si>
  <si>
    <t>2021-10-22</t>
  </si>
  <si>
    <t>https://www.sec.gov/Archives/edgar/data/50863/000005086321000038/</t>
  </si>
  <si>
    <t>2023-01-27</t>
  </si>
  <si>
    <t>https://www.sec.gov/Archives/edgar/data/50863/000005086323000006/</t>
  </si>
  <si>
    <t>2022-04-29</t>
  </si>
  <si>
    <t>https://www.sec.gov/Archives/edgar/data/50863/000005086322000020/</t>
  </si>
  <si>
    <t>2022-07-29</t>
  </si>
  <si>
    <t>https://www.sec.gov/Archives/edgar/data/50863/000005086322000030/</t>
  </si>
  <si>
    <t>2022-10-28</t>
  </si>
  <si>
    <t>https://www.sec.gov/Archives/edgar/data/50863/000005086322000038/</t>
  </si>
  <si>
    <t>2024-01-26</t>
  </si>
  <si>
    <t>https://www.sec.gov/Archives/edgar/data/50863/000005086324000010/</t>
  </si>
  <si>
    <t>2023-04-28</t>
  </si>
  <si>
    <t>https://www.sec.gov/Archives/edgar/data/50863/000005086323000028/</t>
  </si>
  <si>
    <t>2023-07-28</t>
  </si>
  <si>
    <t>https://www.sec.gov/Archives/edgar/data/50863/000005086323000069/</t>
  </si>
  <si>
    <t>2023-10-27</t>
  </si>
  <si>
    <t>https://www.sec.gov/Archives/edgar/data/50863/000005086323000103/</t>
  </si>
  <si>
    <t>2025-01-31</t>
  </si>
  <si>
    <t>https://www.sec.gov/Archives/edgar/data/50863/000005086325000009/</t>
  </si>
  <si>
    <t>2024-04-26</t>
  </si>
  <si>
    <t>https://www.sec.gov/Archives/edgar/data/50863/000005086324000076/</t>
  </si>
  <si>
    <t>2024-08-02</t>
  </si>
  <si>
    <t>https://www.sec.gov/Archives/edgar/data/50863/000005086324000124/</t>
  </si>
  <si>
    <t>2024-11-01</t>
  </si>
  <si>
    <t>https://www.sec.gov/Archives/edgar/data/50863/000005086324000149/</t>
  </si>
  <si>
    <t>2026-01-23</t>
  </si>
  <si>
    <t>https://www.sec.gov/Archives/edgar/data/50863/000005086326000011/</t>
  </si>
  <si>
    <t>2025-04-25</t>
  </si>
  <si>
    <t>https://www.sec.gov/Archives/edgar/data/50863/000005086325000074/</t>
  </si>
  <si>
    <t>2025-07-24</t>
  </si>
  <si>
    <t>https://www.sec.gov/Archives/edgar/data/50863/000005086325000109/</t>
  </si>
  <si>
    <t>2025-11-06</t>
  </si>
  <si>
    <t>https://www.sec.gov/Archives/edgar/data/50863/000005086325000179/</t>
  </si>
  <si>
    <t>2026-04-24</t>
  </si>
  <si>
    <t>https://www.sec.gov/Archives/edgar/data/50863/000005086326000079/</t>
  </si>
  <si>
    <t>2026-07-24</t>
  </si>
  <si>
    <t>https://www.sec.gov/Archives/edgar/data/50863/000005086326000157/</t>
  </si>
  <si>
    <t>NVIDIA</t>
  </si>
  <si>
    <t>엔비디아</t>
  </si>
  <si>
    <t>NVDA</t>
  </si>
  <si>
    <t>2020-05-21</t>
  </si>
  <si>
    <t>게이밍:48%, 데이터센터:37%, 프로비즈:10%, 오토:5%</t>
  </si>
  <si>
    <t>코로나 초기 서버·클라우드 수요 급증, 멜라녹스 인수 완료</t>
  </si>
  <si>
    <t>NVIDIA 10-Q FY2021 Q1</t>
  </si>
  <si>
    <t>2020-08-19</t>
  </si>
  <si>
    <t>데이터센터:45%, 게이밍:43%, 프로비즈:7%, 오토:5%</t>
  </si>
  <si>
    <t>데이터센터 매출이 처음으로 게이밍 추월 (멜라녹스 합산)</t>
  </si>
  <si>
    <t>NVIDIA 10-Q FY2021 Q2</t>
  </si>
  <si>
    <t>2020-11-18</t>
  </si>
  <si>
    <t>게이밍:48%, 데이터센터:40%, 프로비즈:7%, 오토:5%</t>
  </si>
  <si>
    <t>RTX 30시리즈(Ampere) 출시로 게이밍 매출 반등</t>
  </si>
  <si>
    <t>NVIDIA 10-Q FY2021 Q3</t>
  </si>
  <si>
    <t>2021-02-24</t>
  </si>
  <si>
    <t>게이밍:50%, 데이터센터:38%, 프로비즈:6%, 오토:3%</t>
  </si>
  <si>
    <t>A100 GPU 수요 가속, 분기 매출 $5B 첫 돌파</t>
  </si>
  <si>
    <t>NVIDIA 10-K FY2021 Q4</t>
  </si>
  <si>
    <t>2021-05-26</t>
  </si>
  <si>
    <t>게이밍:49%, 데이터센터:36%, 프로비즈:9%, 오토:6%</t>
  </si>
  <si>
    <t>게이밍 및 암호화폐 채굴 수요 급증</t>
  </si>
  <si>
    <t>NVIDIA 10-Q FY2022 Q1</t>
  </si>
  <si>
    <t>2021-08-18</t>
  </si>
  <si>
    <t>게이밍:47%, 데이터센터:36%, 프로비즈:9%, 오토:8%</t>
  </si>
  <si>
    <t>A100 클라우드 채택 확대, ARM 인수 추진 중</t>
  </si>
  <si>
    <t>NVIDIA 10-Q FY2022 Q2</t>
  </si>
  <si>
    <t>2021-11-17</t>
  </si>
  <si>
    <t>게이밍:45%, 데이터센터:41%, 프로비즈:8%, 오토:6%</t>
  </si>
  <si>
    <t>데이터센터 분기 $2.9B, GTC에서 Omniverse 로드맵 발표</t>
  </si>
  <si>
    <t>NVIDIA 10-Q FY2022 Q3</t>
  </si>
  <si>
    <t>2022-02-16</t>
  </si>
  <si>
    <t>게이밍:45%, 데이터센터:43%, 프로비즈:7%, 오토:5%</t>
  </si>
  <si>
    <t>FY2022 연간 매출 $26.9B 역대 최대, ARM 인수 무산</t>
  </si>
  <si>
    <t>NVIDIA 10-K FY2022 Q4</t>
  </si>
  <si>
    <t>2022-05-25</t>
  </si>
  <si>
    <t>데이터센터:45%, 게이밍:44%, 프로비즈:7%, 오토:4%</t>
  </si>
  <si>
    <t>H100 Hopper 아키텍처 GTC에서 최초 공개</t>
  </si>
  <si>
    <t>NVIDIA 10-Q FY2023 Q1</t>
  </si>
  <si>
    <t>2022-08-24</t>
  </si>
  <si>
    <t>데이터센터:57%, 게이밍:30%, 프로비즈:8%, 오토:5%</t>
  </si>
  <si>
    <t>게이밍 매출 -33% QoQ 급락, 암호화폐 채굴 수요 붕괴</t>
  </si>
  <si>
    <t>NVIDIA 10-Q FY2023 Q2</t>
  </si>
  <si>
    <t>2022-11-16</t>
  </si>
  <si>
    <t>데이터센터:64%, 게이밍:27%, 프로비즈:5%, 오토:4%</t>
  </si>
  <si>
    <t>PC 시장 극심한 침체, 재고 충당금 처리</t>
  </si>
  <si>
    <t>NVIDIA 10-Q FY2023 Q3</t>
  </si>
  <si>
    <t>2023-02-22</t>
  </si>
  <si>
    <t>데이터센터:60%, 게이밍:30%, 프로비즈:6%, 오토:4%</t>
  </si>
  <si>
    <t>ChatGPT 등장(2022-11) 직후, AI 인프라 수요 급변 시작</t>
  </si>
  <si>
    <t>NVIDIA 10-K FY2023 Q4</t>
  </si>
  <si>
    <t>2023-05-24</t>
  </si>
  <si>
    <t>데이터센터:60%, 게이밍:31%, 프로비즈:5%, 오토:4%</t>
  </si>
  <si>
    <t>생성형 AI 인프라 수주 급증 시작, 가이던스 대폭 상향 ($11B)</t>
  </si>
  <si>
    <t>NVIDIA 10-Q FY2024 Q1</t>
  </si>
  <si>
    <t>2023-08-23</t>
  </si>
  <si>
    <t>데이터센터:76%, 게이밍:18%, 프로비즈:3%, 오토:3%</t>
  </si>
  <si>
    <t>역사적 어닝 서프라이즈 — 매출 YoY +101%, 가이던스 $16B 제시</t>
  </si>
  <si>
    <t>NVIDIA 10-Q FY2024 Q2</t>
  </si>
  <si>
    <t>2023-11-21</t>
  </si>
  <si>
    <t>데이터센터:80%, 게이밍:16%, 프로비즈:2%, 오토:2%</t>
  </si>
  <si>
    <t>H100 공급 부족 지속, 가이던스 $20B 제시, 중국 수출규제 영향 제한적</t>
  </si>
  <si>
    <t>NVIDIA 10-Q FY2024 Q3</t>
  </si>
  <si>
    <t>2024-02-21</t>
  </si>
  <si>
    <t>데이터센터:83%, 게이밍:13%, 프로비즈:2%, 오토:2%</t>
  </si>
  <si>
    <t>FY2024 연간 매출 $60.9B(+126%), 가이던스 $24B</t>
  </si>
  <si>
    <t>NVIDIA 10-K FY2024 Q4</t>
  </si>
  <si>
    <t>2024-05-22</t>
  </si>
  <si>
    <t>데이터센터:87%, 게이밍:10%, 프로비즈:2%, 오토:1%</t>
  </si>
  <si>
    <t>Blackwell 아키텍처(B100/B200/GB200) 발표, 6월 10:1 액면분할 결정</t>
  </si>
  <si>
    <t>NVIDIA 10-Q FY2025 Q1</t>
  </si>
  <si>
    <t>2024-08-28</t>
  </si>
  <si>
    <t>데이터센터:88%, 게이밍:9%, 프로비즈:2%, 오토:1%</t>
  </si>
  <si>
    <t>액면분할 후 첫 실적, H200 출하 확대, 빅테크 Capex 폭증 수혜</t>
  </si>
  <si>
    <t>NVIDIA 10-Q FY2025 Q2</t>
  </si>
  <si>
    <t>2024-11-20</t>
  </si>
  <si>
    <t>Blackwell 수율 이슈 해소 확인, 4분기 본격 출하 예고</t>
  </si>
  <si>
    <t>NVIDIA 10-Q FY2025 Q3</t>
  </si>
  <si>
    <t>2025-02-26</t>
  </si>
  <si>
    <t>데이터센터:88%, 게이밍:8.5%, 프로비즈:2%, 오토:1.5%</t>
  </si>
  <si>
    <t>Blackwell 본격 인도 개시, FY2025 연간 매출 $130.5B(+114%)</t>
  </si>
  <si>
    <t>NVIDIA 10-K FY2025 Q4</t>
  </si>
  <si>
    <t>2025-05-28</t>
  </si>
  <si>
    <t>데이터센터:89%, 게이밍:8%, 프로비즈:2%, 오토:1%</t>
  </si>
  <si>
    <t>GB200 NVL72 본격 납품, 소버린 AI 수주 확대</t>
  </si>
  <si>
    <t>NVIDIA 10-Q FY2026 Q1</t>
  </si>
  <si>
    <t>2025-08-27</t>
  </si>
  <si>
    <t>데이터센터:90%, 게이밍:7%, 프로비즈:2%, 오토:1%</t>
  </si>
  <si>
    <t>Blackwell Ultra 출하 개시, 추론 워크로드 비중 확대</t>
  </si>
  <si>
    <t>NVIDIA FY2026-Q2 official GAAP earnings release</t>
  </si>
  <si>
    <t>2026-05-28</t>
  </si>
  <si>
    <t>데이터센터:91%, 게이밍:6%, 프로비즈:2%, 오토:1%</t>
  </si>
  <si>
    <t>Rubin 아키텍처 첫 출하, AI 에이전트 추론 인프라 대규모 수주</t>
  </si>
  <si>
    <t>NVIDIA 10-Q FY2027 Q1</t>
  </si>
  <si>
    <t>2026-08-26</t>
  </si>
  <si>
    <t>데이터센터:92%, 게이밍:5.5%, 프로비즈:1.5%, 오토:1%</t>
  </si>
  <si>
    <t>Rubin 양산 가속, HBM4 탑재 본격화</t>
  </si>
  <si>
    <t>NVIDIA FY2027-Q2 official GAAP earnings release</t>
  </si>
  <si>
    <t>데이터센터:92%, 기타:8%</t>
  </si>
  <si>
    <t>컨센서스 전망: Rubin 풀가동 및 광 인터커넥트 적용 확대</t>
  </si>
  <si>
    <t>월가 컨센서스 평균 (2026-09)</t>
  </si>
  <si>
    <t>데이터센터:93%, 기타:7%</t>
  </si>
  <si>
    <t>컨센서스 전망: FY2027 연간 매출 $258B 전망</t>
  </si>
  <si>
    <t>AMKOR</t>
  </si>
  <si>
    <t>앰코</t>
  </si>
  <si>
    <t>Amkor Technology</t>
  </si>
  <si>
    <t>L4_FOUNDRY</t>
  </si>
  <si>
    <t>AMKR</t>
  </si>
  <si>
    <t>2021-04-30</t>
  </si>
  <si>
    <t>https://www.sec.gov/Archives/edgar/data/1047127/000104712721000016/</t>
  </si>
  <si>
    <t>2021-07-30</t>
  </si>
  <si>
    <t>https://www.sec.gov/Archives/edgar/data/1047127/000104712721000025/</t>
  </si>
  <si>
    <t>2021-10-29</t>
  </si>
  <si>
    <t>https://www.sec.gov/Archives/edgar/data/1047127/000104712721000043/</t>
  </si>
  <si>
    <t>https://www.sec.gov/Archives/edgar/data/1047127/000104712723000009/</t>
  </si>
  <si>
    <t>2022-05-05</t>
  </si>
  <si>
    <t>https://www.sec.gov/Archives/edgar/data/1047127/000104712722000015/</t>
  </si>
  <si>
    <t>2022-08-04</t>
  </si>
  <si>
    <t>https://www.sec.gov/Archives/edgar/data/1047127/000104712722000025/</t>
  </si>
  <si>
    <t>2022-11-03</t>
  </si>
  <si>
    <t>https://www.sec.gov/Archives/edgar/data/1047127/000104712722000031/</t>
  </si>
  <si>
    <t>2024-02-16</t>
  </si>
  <si>
    <t>https://www.sec.gov/Archives/edgar/data/1047127/000104712724000019/</t>
  </si>
  <si>
    <t>https://www.sec.gov/Archives/edgar/data/1047127/000104712723000015/</t>
  </si>
  <si>
    <t>2023-08-01</t>
  </si>
  <si>
    <t>https://www.sec.gov/Archives/edgar/data/1047127/000104712723000024/</t>
  </si>
  <si>
    <t>https://www.sec.gov/Archives/edgar/data/1047127/000104712723000030/</t>
  </si>
  <si>
    <t>2025-02-21</t>
  </si>
  <si>
    <t>https://www.sec.gov/Archives/edgar/data/1047127/000104712725000030/</t>
  </si>
  <si>
    <t>https://www.sec.gov/Archives/edgar/data/1047127/000104712724000094/</t>
  </si>
  <si>
    <t>https://www.sec.gov/Archives/edgar/data/1047127/000104712724000159/</t>
  </si>
  <si>
    <t>https://www.sec.gov/Archives/edgar/data/1047127/000104712724000203/</t>
  </si>
  <si>
    <t>2026-02-20</t>
  </si>
  <si>
    <t>https://www.sec.gov/Archives/edgar/data/1047127/000104712726000014/</t>
  </si>
  <si>
    <t>2025-04-29</t>
  </si>
  <si>
    <t>https://www.sec.gov/Archives/edgar/data/1047127/000104712725000087/</t>
  </si>
  <si>
    <t>2025-07-29</t>
  </si>
  <si>
    <t>https://www.sec.gov/Archives/edgar/data/1047127/000104712725000168/</t>
  </si>
  <si>
    <t>2025-10-28</t>
  </si>
  <si>
    <t>https://www.sec.gov/Archives/edgar/data/1047127/000104712725000190/</t>
  </si>
  <si>
    <t>2026-04-28</t>
  </si>
  <si>
    <t>https://www.sec.gov/Archives/edgar/data/1047127/000104712726000020/</t>
  </si>
  <si>
    <t>APPLIED_MATERIALS</t>
  </si>
  <si>
    <t>어플라이드</t>
  </si>
  <si>
    <t>Applied Materials</t>
  </si>
  <si>
    <t>AMAT</t>
  </si>
  <si>
    <t>2021-05-27</t>
  </si>
  <si>
    <t>https://www.sec.gov/Archives/edgar/data/6951/000000695121000023/</t>
  </si>
  <si>
    <t>2021-08-26</t>
  </si>
  <si>
    <t>https://www.sec.gov/Archives/edgar/data/6951/000000695121000034/</t>
  </si>
  <si>
    <t>2022-02-24</t>
  </si>
  <si>
    <t>https://www.sec.gov/Archives/edgar/data/6951/000000695122000011/</t>
  </si>
  <si>
    <t>2022-05-26</t>
  </si>
  <si>
    <t>https://www.sec.gov/Archives/edgar/data/6951/000000695122000022/</t>
  </si>
  <si>
    <t>2022-08-25</t>
  </si>
  <si>
    <t>https://www.sec.gov/Archives/edgar/data/6951/000000695122000032/</t>
  </si>
  <si>
    <t>2023-12-15</t>
  </si>
  <si>
    <t>https://www.sec.gov/Archives/edgar/data/6951/000000695123000041/</t>
  </si>
  <si>
    <t>2023-02-23</t>
  </si>
  <si>
    <t>https://www.sec.gov/Archives/edgar/data/6951/000000695123000012/</t>
  </si>
  <si>
    <t>2023-05-26</t>
  </si>
  <si>
    <t>https://www.sec.gov/Archives/edgar/data/6951/000000695123000022/</t>
  </si>
  <si>
    <t>2023-08-24</t>
  </si>
  <si>
    <t>https://www.sec.gov/Archives/edgar/data/6951/000000695123000031/</t>
  </si>
  <si>
    <t>2024-12-13</t>
  </si>
  <si>
    <t>https://www.sec.gov/Archives/edgar/data/6951/000000695124000044/</t>
  </si>
  <si>
    <t>2024-02-27</t>
  </si>
  <si>
    <t>https://www.sec.gov/Archives/edgar/data/6951/000000695124000012/</t>
  </si>
  <si>
    <t>2024-05-23</t>
  </si>
  <si>
    <t>https://www.sec.gov/Archives/edgar/data/6951/000000695124000022/</t>
  </si>
  <si>
    <t>2024-08-22</t>
  </si>
  <si>
    <t>https://www.sec.gov/Archives/edgar/data/6951/000000695124000032/</t>
  </si>
  <si>
    <t>2025-12-12</t>
  </si>
  <si>
    <t>https://www.sec.gov/Archives/edgar/data/6951/000162828025056742/</t>
  </si>
  <si>
    <t>2025-02-20</t>
  </si>
  <si>
    <t>https://www.sec.gov/Archives/edgar/data/6951/000000695125000011/</t>
  </si>
  <si>
    <t>2025-05-22</t>
  </si>
  <si>
    <t>https://www.sec.gov/Archives/edgar/data/6951/000000695125000024/</t>
  </si>
  <si>
    <t>2025-08-21</t>
  </si>
  <si>
    <t>https://www.sec.gov/Archives/edgar/data/6951/000000695125000037/</t>
  </si>
  <si>
    <t>2026-02-19</t>
  </si>
  <si>
    <t>https://www.sec.gov/Archives/edgar/data/6951/000162828026009694/</t>
  </si>
  <si>
    <t>2026-05-21</t>
  </si>
  <si>
    <t>https://www.sec.gov/Archives/edgar/data/6951/000162828026037227/</t>
  </si>
  <si>
    <t>2026-08-20</t>
  </si>
  <si>
    <t>https://www.sec.gov/Archives/edgar/data/6951/000162828026058235/</t>
  </si>
  <si>
    <t>ASE</t>
  </si>
  <si>
    <t>ASE Technology</t>
  </si>
  <si>
    <t>ASX</t>
  </si>
  <si>
    <t>Official unaudited T-IFRS result; converted at disclosed NTD/USD 31.18. EPS is per ADS in USD.</t>
  </si>
  <si>
    <t>https://www.sec.gov/Archives/edgar/data/1122411/000095010326011351/dp250868_6k.htm</t>
  </si>
  <si>
    <t>2026-09-16 10:11:49</t>
  </si>
  <si>
    <t>Official unaudited T-IFRS result, retrospectively adjusted; converted at disclosed NTD/USD 31.53. EPS is per ADS in USD.</t>
  </si>
  <si>
    <t>Official unaudited T-IFRS result; converted at disclosed NTD/USD 31.59. EPS is per ADS in USD.</t>
  </si>
  <si>
    <t>KLA</t>
  </si>
  <si>
    <t>KLA Corporation</t>
  </si>
  <si>
    <t>KLAC</t>
  </si>
  <si>
    <t>https://www.sec.gov/Archives/edgar/data/319201/000031920121000037/</t>
  </si>
  <si>
    <t>2022-01-28</t>
  </si>
  <si>
    <t>https://www.sec.gov/Archives/edgar/data/319201/000031920122000006/</t>
  </si>
  <si>
    <t>https://www.sec.gov/Archives/edgar/data/319201/000031920121000017/</t>
  </si>
  <si>
    <t>2022-08-05</t>
  </si>
  <si>
    <t>SEC XBRL official filing; Q4 derived as FY minus Q1-Q3 for revenue, net_income</t>
  </si>
  <si>
    <t>https://www.sec.gov/Archives/edgar/data/319201/000031920122000023/</t>
  </si>
  <si>
    <t>https://www.sec.gov/Archives/edgar/data/319201/000162828022027311/</t>
  </si>
  <si>
    <t>https://www.sec.gov/Archives/edgar/data/319201/000031920123000010/</t>
  </si>
  <si>
    <t>https://www.sec.gov/Archives/edgar/data/319201/000031920122000012/</t>
  </si>
  <si>
    <t>2023-08-04</t>
  </si>
  <si>
    <t>https://www.sec.gov/Archives/edgar/data/319201/000031920123000031/</t>
  </si>
  <si>
    <t>https://www.sec.gov/Archives/edgar/data/319201/000031920123000039/</t>
  </si>
  <si>
    <t>https://www.sec.gov/Archives/edgar/data/319201/000031920124000006/</t>
  </si>
  <si>
    <t>https://www.sec.gov/Archives/edgar/data/319201/000031920123000020/</t>
  </si>
  <si>
    <t>2024-08-05</t>
  </si>
  <si>
    <t>https://www.sec.gov/Archives/edgar/data/319201/000031920124000021/</t>
  </si>
  <si>
    <t>https://www.sec.gov/Archives/edgar/data/319201/000031920124000027/</t>
  </si>
  <si>
    <t>https://www.sec.gov/Archives/edgar/data/319201/000031920125000006/</t>
  </si>
  <si>
    <t>https://www.sec.gov/Archives/edgar/data/319201/000031920124000012/</t>
  </si>
  <si>
    <t>2025-08-08</t>
  </si>
  <si>
    <t>https://www.sec.gov/Archives/edgar/data/319201/000031920125000024/</t>
  </si>
  <si>
    <t>2025-10-31</t>
  </si>
  <si>
    <t>https://www.sec.gov/Archives/edgar/data/319201/000031920125000034/</t>
  </si>
  <si>
    <t>2026-01-30</t>
  </si>
  <si>
    <t>https://www.sec.gov/Archives/edgar/data/319201/000031920126000008/</t>
  </si>
  <si>
    <t>https://www.sec.gov/Archives/edgar/data/319201/000031920125000012/</t>
  </si>
  <si>
    <t>2026-08-06</t>
  </si>
  <si>
    <t>https://www.sec.gov/Archives/edgar/data/319201/000031920126000027/</t>
  </si>
  <si>
    <t>https://www.sec.gov/Archives/edgar/data/319201/000031920126000016/</t>
  </si>
  <si>
    <t>LAM_RESEARCH</t>
  </si>
  <si>
    <t>램리서치</t>
  </si>
  <si>
    <t>Lam Research</t>
  </si>
  <si>
    <t>LRCX</t>
  </si>
  <si>
    <t>https://www.sec.gov/Archives/edgar/data/707549/000070754921000155/</t>
  </si>
  <si>
    <t>https://www.sec.gov/Archives/edgar/data/707549/000070754922000012/</t>
  </si>
  <si>
    <t>https://www.sec.gov/Archives/edgar/data/707549/000070754921000089/</t>
  </si>
  <si>
    <t>https://www.sec.gov/Archives/edgar/data/707549/000070754922000107/</t>
  </si>
  <si>
    <t>2022-10-24</t>
  </si>
  <si>
    <t>https://www.sec.gov/Archives/edgar/data/707549/000070754922000124/</t>
  </si>
  <si>
    <t>2023-01-30</t>
  </si>
  <si>
    <t>https://www.sec.gov/Archives/edgar/data/707549/000070754923000008/</t>
  </si>
  <si>
    <t>https://www.sec.gov/Archives/edgar/data/707549/000070754922000067/</t>
  </si>
  <si>
    <t>2023-08-15</t>
  </si>
  <si>
    <t>https://www.sec.gov/Archives/edgar/data/707549/000070754923000102/</t>
  </si>
  <si>
    <t>2023-10-23</t>
  </si>
  <si>
    <t>https://www.sec.gov/Archives/edgar/data/707549/000070754923000115/</t>
  </si>
  <si>
    <t>2024-01-29</t>
  </si>
  <si>
    <t>https://www.sec.gov/Archives/edgar/data/707549/000070754924000016/</t>
  </si>
  <si>
    <t>2023-04-24</t>
  </si>
  <si>
    <t>https://www.sec.gov/Archives/edgar/data/707549/000070754923000081/</t>
  </si>
  <si>
    <t>2024-08-29</t>
  </si>
  <si>
    <t>https://www.sec.gov/Archives/edgar/data/707549/000070754924000106/</t>
  </si>
  <si>
    <t>2024-10-28</t>
  </si>
  <si>
    <t>https://www.sec.gov/Archives/edgar/data/707549/000070754924000128/</t>
  </si>
  <si>
    <t>https://www.sec.gov/Archives/edgar/data/707549/000070754925000014/</t>
  </si>
  <si>
    <t>2024-04-29</t>
  </si>
  <si>
    <t>https://www.sec.gov/Archives/edgar/data/707549/000070754924000067/</t>
  </si>
  <si>
    <t>2025-08-11</t>
  </si>
  <si>
    <t>https://www.sec.gov/Archives/edgar/data/707549/000070754925000075/</t>
  </si>
  <si>
    <t>2025-10-24</t>
  </si>
  <si>
    <t>https://www.sec.gov/Archives/edgar/data/707549/000070754925000085/</t>
  </si>
  <si>
    <t>2026-01-29</t>
  </si>
  <si>
    <t>https://www.sec.gov/Archives/edgar/data/707549/000070754926000009/</t>
  </si>
  <si>
    <t>https://www.sec.gov/Archives/edgar/data/707549/000070754925000054/</t>
  </si>
  <si>
    <t>2026-08-07</t>
  </si>
  <si>
    <t>https://www.sec.gov/Archives/edgar/data/707549/000070754926000037/</t>
  </si>
  <si>
    <t>2026-04-23</t>
  </si>
  <si>
    <t>https://www.sec.gov/Archives/edgar/data/707549/000070754926000022/</t>
  </si>
  <si>
    <t>TSMC</t>
  </si>
  <si>
    <t>TSM</t>
  </si>
  <si>
    <t>2020-04-16</t>
  </si>
  <si>
    <t>스마트폰:49%, HPC:30%, IoT:8%, 오토:4%</t>
  </si>
  <si>
    <t>7nm 주문 폭주, 5nm 양산 준비 중</t>
  </si>
  <si>
    <t>TSMC IR 2020-Q1</t>
  </si>
  <si>
    <t>2020-07-16</t>
  </si>
  <si>
    <t>스마트폰:47%, HPC:33%, IoT:9%, 오토:3%</t>
  </si>
  <si>
    <t>5nm(N5) 본격 양산 돌입, 애플 A14 위탁</t>
  </si>
  <si>
    <t>TSMC IR 2020-Q2</t>
  </si>
  <si>
    <t>2020-10-15</t>
  </si>
  <si>
    <t>스마트폰:46%, HPC:37%, IoT:8%, 오토:3%</t>
  </si>
  <si>
    <t>애플 A14 5nm 독점 공급, 아이폰12 물량 대응</t>
  </si>
  <si>
    <t>TSMC IR 2020-Q3</t>
  </si>
  <si>
    <t>2021-01-14</t>
  </si>
  <si>
    <t>스마트폰:51%, HPC:31%, IoT:8%, 오토:3%</t>
  </si>
  <si>
    <t>연간 매출 NT$1.34조(+25%), 5nm 매출 비중 8%</t>
  </si>
  <si>
    <t>TSMC IR 2020-Q4</t>
  </si>
  <si>
    <t>2021-04-15</t>
  </si>
  <si>
    <t>스마트폰:45%, HPC:35%, IoT:9%, 오토:4%</t>
  </si>
  <si>
    <t>차량용 반도체 쇼티지 대응, 신규 Fab 증설 발표</t>
  </si>
  <si>
    <t>TSMC IR 2021-Q1</t>
  </si>
  <si>
    <t>2021-07-15</t>
  </si>
  <si>
    <t>스마트폰:42%, HPC:39%, IoT:9%, 오토:4%</t>
  </si>
  <si>
    <t>원가 상승 압박, 하반기 가격 인상 검토</t>
  </si>
  <si>
    <t>TSMC IR 2021-Q2</t>
  </si>
  <si>
    <t>2021-10-14</t>
  </si>
  <si>
    <t>스마트폰:44%, HPC:37%, IoT:9%, 오토:4%</t>
  </si>
  <si>
    <t>아이폰13 AP 양산, 웨이퍼 출하 사상 최대</t>
  </si>
  <si>
    <t>TSMC IR 2021-Q3</t>
  </si>
  <si>
    <t>2022-01-13</t>
  </si>
  <si>
    <t>스마트폰:44%, HPC:37%, IoT:8%, 오토:5%</t>
  </si>
  <si>
    <t>2022년 웨이퍼 단가 ~20% 인상 통보, 미국 애리조나 Fab 착공</t>
  </si>
  <si>
    <t>TSMC IR 2021-Q4</t>
  </si>
  <si>
    <t>2022-04-14</t>
  </si>
  <si>
    <t>스마트폰:40%, HPC:41%, IoT:9%, 오토:5%</t>
  </si>
  <si>
    <t>HPC 비중 처음으로 스마트폰 추월</t>
  </si>
  <si>
    <t>TSMC IR 2022-Q1</t>
  </si>
  <si>
    <t>2022-07-14</t>
  </si>
  <si>
    <t>스마트폰:38%, HPC:43%, IoT:8%, 오토:5%</t>
  </si>
  <si>
    <t>환율 효과 및 가격 인상 반영, 영업이익률 49%</t>
  </si>
  <si>
    <t>TSMC IR 2022-Q2</t>
  </si>
  <si>
    <t>2022-10-13</t>
  </si>
  <si>
    <t>스마트폰:41%, HPC:39%, IoT:8%, 오토:5%</t>
  </si>
  <si>
    <t>사상 최초 분기 매출총이익률 60% 돌파</t>
  </si>
  <si>
    <t>TSMC IR 2022-Q3</t>
  </si>
  <si>
    <t>2023-01-12</t>
  </si>
  <si>
    <t>스마트폰:38%, HPC:42%, IoT:8%, 오토:6%</t>
  </si>
  <si>
    <t>3nm(N3) 양산 공식 선언, 연간 매출 $75.9B(+33%)</t>
  </si>
  <si>
    <t>TSMC IR 2022-Q4</t>
  </si>
  <si>
    <t>2023-04-20</t>
  </si>
  <si>
    <t>스마트폰:34%, HPC:44%, IoT:9%, 오토:7%</t>
  </si>
  <si>
    <t>글로벌 칩셋 재고 조정, 3nm 가동률 상승 중</t>
  </si>
  <si>
    <t>TSMC IR 2023-Q1</t>
  </si>
  <si>
    <t>2023-07-20</t>
  </si>
  <si>
    <t>스마트폰:33%, HPC:44%, IoT:9%, 오토:8%</t>
  </si>
  <si>
    <t>업황 바닥 확인, 하반기 회복 전망 제시</t>
  </si>
  <si>
    <t>TSMC IR 2023-Q2</t>
  </si>
  <si>
    <t>2023-10-19</t>
  </si>
  <si>
    <t>스마트폰:39%, HPC:42%, IoT:8%, 오토:5%</t>
  </si>
  <si>
    <t>애플 3nm AP 및 엔비디아 AI GPU 주문 증가</t>
  </si>
  <si>
    <t>TSMC IR 2023-Q3</t>
  </si>
  <si>
    <t>2024-01-18</t>
  </si>
  <si>
    <t>스마트폰:43%, HPC:43%, IoT:6%, 오토:5%</t>
  </si>
  <si>
    <t>3nm 매출 비중 15%, CoWoS 패키징 수주 폭증</t>
  </si>
  <si>
    <t>TSMC IR 2023-Q4</t>
  </si>
  <si>
    <t>2024-04-18</t>
  </si>
  <si>
    <t>스마트폰:38%, HPC:46%, IoT:7%, 오토:6%</t>
  </si>
  <si>
    <t>AI 가속기 위탁 주문 대폭발, CoWoS Capa 부족</t>
  </si>
  <si>
    <t>TSMC IR 2024-Q1</t>
  </si>
  <si>
    <t>2024-07-18</t>
  </si>
  <si>
    <t>스마트폰:35%, HPC:52%, IoT:6%, 오토:5%</t>
  </si>
  <si>
    <t>HPC 비중 50% 최초 돌파 (AI 수요 견인)</t>
  </si>
  <si>
    <t>TSMC IR 2024-Q2</t>
  </si>
  <si>
    <t>2024-10-17</t>
  </si>
  <si>
    <t>스마트폰:34%, HPC:51%, IoT:7%, 오토:5%</t>
  </si>
  <si>
    <t>CoWoS 패키징 풀가동, 미국 팹 4nm 양산 테스트 성공</t>
  </si>
  <si>
    <t>TSMC IR 2024-Q3</t>
  </si>
  <si>
    <t>2025-01-16</t>
  </si>
  <si>
    <t>스마트폰:35%, HPC:53%, IoT:5%, 오토:5%</t>
  </si>
  <si>
    <t>사상 최대 분기 매출, 연간 $87.1B(+30%)</t>
  </si>
  <si>
    <t>TSMC IR 2024-Q4</t>
  </si>
  <si>
    <t>2025-04-17</t>
  </si>
  <si>
    <t>스마트폰:33%, HPC:55%, IoT:5%, 오토:5%</t>
  </si>
  <si>
    <t>미국 애리조나 팹(4nm) 양산 개시, A16 공정 개발 착수</t>
  </si>
  <si>
    <t>TSMC IR 2025-Q1</t>
  </si>
  <si>
    <t>2025-07-17</t>
  </si>
  <si>
    <t>스마트폰:32%, HPC:56%, IoT:5%, 오토:5%</t>
  </si>
  <si>
    <t>CoWoS Capa 전년비 2배 증설 완료, 2nm 리스크 양산 순항</t>
  </si>
  <si>
    <t>TSMC IR 2025-Q2</t>
  </si>
  <si>
    <t>2026-04-16</t>
  </si>
  <si>
    <t>HPC:58%, 스마트폰:30%, IoT:5%, 오토:5%</t>
  </si>
  <si>
    <t>2nm 대량 양산 시작, 일본 구마모토 2팹 순항</t>
  </si>
  <si>
    <t>TSMC IR 2026-Q1</t>
  </si>
  <si>
    <t>2026-07-17</t>
  </si>
  <si>
    <t>HPC:59%, 스마트폰:29%, IoT:5%, 오토:5%</t>
  </si>
  <si>
    <t>분기 매출 $36B 돌파, 영업이익률 49%</t>
  </si>
  <si>
    <t>TSMC IR 2026-Q2</t>
  </si>
  <si>
    <t>HPC:60%, 스마트폰:28%</t>
  </si>
  <si>
    <t>컨센서스: A16 공정 테이프아웃 시작</t>
  </si>
  <si>
    <t>HPC:61%, 스마트폰:27%</t>
  </si>
  <si>
    <t>컨센서스: 연간 매출 $150B+, 영업이익률 49.5%</t>
  </si>
  <si>
    <t>KIOXIA</t>
  </si>
  <si>
    <t>키옥시아</t>
  </si>
  <si>
    <t>Kioxia Holdings</t>
  </si>
  <si>
    <t>L5_MEMORY</t>
  </si>
  <si>
    <t>285A</t>
  </si>
  <si>
    <t>Official IFRS result; JPY values converted at disclosed quarterly average USD/JPY 145.</t>
  </si>
  <si>
    <t>https://ssl4.eir-parts.net/doc/285A/tdnet/2859905/00.pdf</t>
  </si>
  <si>
    <t>2026-09-16 10:08:01</t>
  </si>
  <si>
    <t>2026-05-15</t>
  </si>
  <si>
    <t>Official IFRS result; JPY values converted at disclosed quarterly average USD/JPY 155.</t>
  </si>
  <si>
    <t>https://ssl4.eir-parts.net/doc/285A/tdnet/2815552/00.pdf</t>
  </si>
  <si>
    <t>FY2026 calendar Q3 guidance: revenue JPY 2,390B, operating profit JPY 1,890B.</t>
  </si>
  <si>
    <t>Official IFRS result; JPY values converted at disclosed quarterly average USD/JPY 160.</t>
  </si>
  <si>
    <t>Company guidance for Jul-Sep 2026; converted at company USD/JPY assumption 162.</t>
  </si>
  <si>
    <t>MICRON</t>
  </si>
  <si>
    <t>마이크론</t>
  </si>
  <si>
    <t>Micron Technology</t>
  </si>
  <si>
    <t>MU</t>
  </si>
  <si>
    <t>2022-01-06</t>
  </si>
  <si>
    <t>https://www.sec.gov/Archives/edgar/data/723125/000072312522000004/</t>
  </si>
  <si>
    <t>2021-04-01</t>
  </si>
  <si>
    <t>https://www.sec.gov/Archives/edgar/data/723125/000072312521000032/</t>
  </si>
  <si>
    <t>2021-07-01</t>
  </si>
  <si>
    <t>https://www.sec.gov/Archives/edgar/data/723125/000072312521000052/</t>
  </si>
  <si>
    <t>2022-10-07</t>
  </si>
  <si>
    <t>https://www.sec.gov/Archives/edgar/data/723125/000072312522000048/</t>
  </si>
  <si>
    <t>2022-12-22</t>
  </si>
  <si>
    <t>https://www.sec.gov/Archives/edgar/data/723125/000072312522000072/</t>
  </si>
  <si>
    <t>2022-03-30</t>
  </si>
  <si>
    <t>https://www.sec.gov/Archives/edgar/data/723125/000072312522000016/</t>
  </si>
  <si>
    <t>2022-07-01</t>
  </si>
  <si>
    <t>https://www.sec.gov/Archives/edgar/data/723125/000072312522000036/</t>
  </si>
  <si>
    <t>2023-10-06</t>
  </si>
  <si>
    <t>https://www.sec.gov/Archives/edgar/data/723125/000072312523000054/</t>
  </si>
  <si>
    <t>2023-12-21</t>
  </si>
  <si>
    <t>https://www.sec.gov/Archives/edgar/data/723125/000072312523000077/</t>
  </si>
  <si>
    <t>2023-03-29</t>
  </si>
  <si>
    <t>https://www.sec.gov/Archives/edgar/data/723125/000072312523000022/</t>
  </si>
  <si>
    <t>2023-06-29</t>
  </si>
  <si>
    <t>https://www.sec.gov/Archives/edgar/data/723125/000072312523000041/</t>
  </si>
  <si>
    <t>2024-10-04</t>
  </si>
  <si>
    <t>https://www.sec.gov/Archives/edgar/data/723125/000072312524000027/</t>
  </si>
  <si>
    <t>2024-12-19</t>
  </si>
  <si>
    <t>https://www.sec.gov/Archives/edgar/data/723125/000072312524000047/</t>
  </si>
  <si>
    <t>2024-03-21</t>
  </si>
  <si>
    <t>https://www.sec.gov/Archives/edgar/data/723125/000072312524000007/</t>
  </si>
  <si>
    <t>2024-06-27</t>
  </si>
  <si>
    <t>https://www.sec.gov/Archives/edgar/data/723125/000072312524000019/</t>
  </si>
  <si>
    <t>2025-10-03</t>
  </si>
  <si>
    <t>https://www.sec.gov/Archives/edgar/data/723125/000072312525000028/</t>
  </si>
  <si>
    <t>https://www.sec.gov/Archives/edgar/data/723125/000072312525000046/</t>
  </si>
  <si>
    <t>2025-03-21</t>
  </si>
  <si>
    <t>https://www.sec.gov/Archives/edgar/data/723125/000072312525000009/</t>
  </si>
  <si>
    <t>2025-06-26</t>
  </si>
  <si>
    <t>https://www.sec.gov/Archives/edgar/data/723125/000072312525000021/</t>
  </si>
  <si>
    <t>2026-03-19</t>
  </si>
  <si>
    <t>https://www.sec.gov/Archives/edgar/data/723125/000072312526000006/</t>
  </si>
  <si>
    <t>2026-06-25</t>
  </si>
  <si>
    <t>https://www.sec.gov/Archives/edgar/data/723125/000072312526000015/</t>
  </si>
  <si>
    <t>SAMSUNG</t>
  </si>
  <si>
    <t>삼성전자</t>
  </si>
  <si>
    <t>Samsung Electronics</t>
  </si>
  <si>
    <t>005930</t>
  </si>
  <si>
    <t>DS:32% (17.6조), MX:47% (26.0조), DP:10%, CE:11%</t>
  </si>
  <si>
    <t>코로나 초기 선방, Galaxy S20 출시</t>
  </si>
  <si>
    <t>삼성전자 IR 2020-Q1</t>
  </si>
  <si>
    <t>DS:35% (18.2조), MX:39% (20.8조), DP:14%, CE:12%</t>
  </si>
  <si>
    <t>반도체 깜짝 실적, 서버 DRAM 수요 증가</t>
  </si>
  <si>
    <t>삼성전자 IR 2020-Q2</t>
  </si>
  <si>
    <t>DS:28% (18.8조), MX:45% (30.0조), DP:13%, CE:14%</t>
  </si>
  <si>
    <t>Galaxy Note20/Z Fold 출시, 펜트업 수요</t>
  </si>
  <si>
    <t>삼성전자 IR 2020-Q3</t>
  </si>
  <si>
    <t>2021-01-28</t>
  </si>
  <si>
    <t>DS:30% (18.5조), MX:36% (22.3조), DP:14%, CE:20%</t>
  </si>
  <si>
    <t>연간 매출 236.8조 원, 반도체 부문 견조</t>
  </si>
  <si>
    <t>삼성전자 IR 2020-Q4</t>
  </si>
  <si>
    <t>DS:29% (19.0조), MX:45% (29.3조), DP:12%, CE:14%</t>
  </si>
  <si>
    <t>오스틴 한파 파운드리 차질, Galaxy S21 호조</t>
  </si>
  <si>
    <t>삼성전자 IR 2021-Q1</t>
  </si>
  <si>
    <t>DS:36% (22.7조), MX:36% (22.8조), DP:14%, CE:14%</t>
  </si>
  <si>
    <t>메모리 호황, DS 영업이익 6.93조</t>
  </si>
  <si>
    <t>삼성전자 IR 2021-Q2</t>
  </si>
  <si>
    <t>DS:36% (26.4조), MX:39% (28.6조), DP:12%, CE:13%</t>
  </si>
  <si>
    <t>분기 영업이익 15.8조 돌파, Galaxy Z Flip3 히트</t>
  </si>
  <si>
    <t>삼성전자 IR 2021-Q3</t>
  </si>
  <si>
    <t>2022-01-27</t>
  </si>
  <si>
    <t>DS:34% (25.9조), MX:38% (28.9조), DP:13%, CE:15%</t>
  </si>
  <si>
    <t>연간 매출 279.6조 원 최대, 반도체 36.9조 영업이익</t>
  </si>
  <si>
    <t>삼성전자 IR 2021-Q4</t>
  </si>
  <si>
    <t>DS:35% (27.2조), MX:42% (32.4조), DP:11%, CE:12%</t>
  </si>
  <si>
    <t>Galaxy S22 및 서버 메모리 견조</t>
  </si>
  <si>
    <t>삼성전자 IR 2022-Q1</t>
  </si>
  <si>
    <t>DS:37% (28.5조), MX:38% (29.3조), DP:12%, CE:13%</t>
  </si>
  <si>
    <t>3nm GAA(게이트올어라운드) 세계 최초 양산 발표</t>
  </si>
  <si>
    <t>삼성전자 IR 2022-Q2</t>
  </si>
  <si>
    <t>DS:30% (23.0조), MX:42% (32.6조), DP:13%, CE:15%</t>
  </si>
  <si>
    <t>메모리 가격 급락 시작, DS 영업이익 5.12조로 급감</t>
  </si>
  <si>
    <t>삼성전자 IR 2022-Q3</t>
  </si>
  <si>
    <t>2023-01-31</t>
  </si>
  <si>
    <t>DS:28% (19.5조), MX:38% (26.7조), DP:14%, CE:20%</t>
  </si>
  <si>
    <t>반도체 이익 급감, 순이익은 법인세 이연 효과로 급증</t>
  </si>
  <si>
    <t>삼성전자 IR 2022-Q4</t>
  </si>
  <si>
    <t>DS:21% (13.5조), MX:48% (30.8조), DP:13%, CE:18%</t>
  </si>
  <si>
    <t>반도체 부문 4.58조 적자, 역대급 실적 충격</t>
  </si>
  <si>
    <t>삼성전자 IR 2023-Q1</t>
  </si>
  <si>
    <t>2023-07-27</t>
  </si>
  <si>
    <t>DS:24% (14.6조), MX:43% (25.7조), DP:14%, CE:19%</t>
  </si>
  <si>
    <t>감산 공식 선언, 시장점유율 방어 vs 수익성 딜레마</t>
  </si>
  <si>
    <t>삼성전자 IR 2023-Q2</t>
  </si>
  <si>
    <t>2023-10-31</t>
  </si>
  <si>
    <t>DS:24% (16.4조), MX:45% (30.1조), DP:13%, CE:18%</t>
  </si>
  <si>
    <t>적자 폭 축소, 하반기 수요 회복 기대</t>
  </si>
  <si>
    <t>삼성전자 IR 2023-Q3</t>
  </si>
  <si>
    <t>DS:32% (21.7조), MX:37% (25.1조), DP:13%, CE:18%</t>
  </si>
  <si>
    <t>메모리 재고 안정화, HBM3E 개발 집중</t>
  </si>
  <si>
    <t>삼성전자 IR 2023-Q4</t>
  </si>
  <si>
    <t>DS:32% (22.7조), MX:47% (33.6조), DP:10%, CE:11%</t>
  </si>
  <si>
    <t>반도체 흑자 전환 (DS 영업이익 1.91조), Galaxy S24 AI폰</t>
  </si>
  <si>
    <t>삼성전자 IR 2024-Q1</t>
  </si>
  <si>
    <t>DS:39% (29.0조), MX:37% (27.4조), DP:11%, CE:13%</t>
  </si>
  <si>
    <t>DRAM 단가 회복, DS 영업이익 6.45조로 급반등</t>
  </si>
  <si>
    <t>삼성전자 IR 2024-Q2</t>
  </si>
  <si>
    <t>DS:37% (29.3조), MX:39% (30.7조), DP:11%, CE:13%</t>
  </si>
  <si>
    <t>DS부문 성과급 충당금 및 파운드리 적자 지속</t>
  </si>
  <si>
    <t>삼성전자 IR 2024-Q3</t>
  </si>
  <si>
    <t>DS:38% (28.8조), MX:34% (25.8조), DP:12%, CE:16%</t>
  </si>
  <si>
    <t>HBM3E 엔비디아 퀄테스트 지연 여파, 파운드리 수율 문제</t>
  </si>
  <si>
    <t>삼성전자 IR 2024-Q4</t>
  </si>
  <si>
    <t>DS:40% (31.6조), MX:36% (28.4조), DP:11%, CE:13%</t>
  </si>
  <si>
    <t>HBM3E 12단 본격 공급 개시, 파운드리 수주 회복 시작</t>
  </si>
  <si>
    <t>삼성전자 IR 2025-Q1</t>
  </si>
  <si>
    <t>DS:42% (34.7조), MX:34% (28.1조), DP:11%, CE:13%</t>
  </si>
  <si>
    <t>파운드리 2nm 테스트 칩 양산 성공, DS 이익 7조 복귀</t>
  </si>
  <si>
    <t>삼성전자 IR 2025-Q2</t>
  </si>
  <si>
    <t>DS:46% (40.5조), MX:31% (27.3조), DP:10%, CE:13%</t>
  </si>
  <si>
    <t>HBM4 양산 진입, 테일러 팹 가동 시작</t>
  </si>
  <si>
    <t>삼성전자 IR 2026-Q1</t>
  </si>
  <si>
    <t>DS:47% (43.0조), MX:30% (27.5조), DP:10%, CE:13%</t>
  </si>
  <si>
    <t>반도체 분기 영업이익 10조 원 돌파, HBM4 대량 공급</t>
  </si>
  <si>
    <t>Samsung Electronics 2026-Q2 official K-IFRS earnings release</t>
  </si>
  <si>
    <t>DS:48%, MX:29%, 기타:23%</t>
  </si>
  <si>
    <t>컨센서스: 평택 P4 풀가동 효과</t>
  </si>
  <si>
    <t>증권사 컨센서스 (2026-09)</t>
  </si>
  <si>
    <t>DS:49%, MX:28%, 기타:23%</t>
  </si>
  <si>
    <t>컨센서스: 연간 매출 371조 원, 영업이익 64.3조 원</t>
  </si>
  <si>
    <t>SK_HYNIX</t>
  </si>
  <si>
    <t>SK하이닉스</t>
  </si>
  <si>
    <t>SK hynix</t>
  </si>
  <si>
    <t>000660</t>
  </si>
  <si>
    <t>2020-04-22</t>
  </si>
  <si>
    <t>DRAM:74%, NAND:24%, 기타:2%</t>
  </si>
  <si>
    <t>서버 메모리 수요 견조, 코로나 초기 영향 제한적</t>
  </si>
  <si>
    <t>SK하이닉스 IR 2020-Q1</t>
  </si>
  <si>
    <t>2020-07-23</t>
  </si>
  <si>
    <t>DRAM:73%, NAND:24%, 기타:3%</t>
  </si>
  <si>
    <t>원격근무·서버 수요 급증으로 깜짝 실적</t>
  </si>
  <si>
    <t>SK하이닉스 IR 2020-Q2</t>
  </si>
  <si>
    <t>2020-10-22</t>
  </si>
  <si>
    <t>DRAM:72%, NAND:25%, 기타:3%</t>
  </si>
  <si>
    <t>화웨이 규제 전 긴급 주문 효과</t>
  </si>
  <si>
    <t>SK하이닉스 IR 2020-Q3</t>
  </si>
  <si>
    <t>DRAM:75%, NAND:22%, 기타:3%</t>
  </si>
  <si>
    <t>인텔 낸드 사업부 인수 계약 발표</t>
  </si>
  <si>
    <t>SK하이닉스 IR 2020-Q4</t>
  </si>
  <si>
    <t>2021-04-22</t>
  </si>
  <si>
    <t>DRAM:76%, NAND:21%, 기타:3%</t>
  </si>
  <si>
    <t>PC 및 모바일 메모리 수요 회복</t>
  </si>
  <si>
    <t>SK하이닉스 IR 2021-Q1</t>
  </si>
  <si>
    <t>2021-07-22</t>
  </si>
  <si>
    <t>DRAM:77%, NAND:20%, 기타:3%</t>
  </si>
  <si>
    <t>분기 매출 10조 원 재돌파, 서버 DRAM 단가 상승</t>
  </si>
  <si>
    <t>SK하이닉스 IR 2021-Q2</t>
  </si>
  <si>
    <t>서버 메모리 슈퍼사이클, DDR5 규격 전환 준비</t>
  </si>
  <si>
    <t>SK하이닉스 IR 2021-Q3</t>
  </si>
  <si>
    <t>연간 매출 42.9조 원 사상 최대, HBM2E 양산</t>
  </si>
  <si>
    <t>SK하이닉스 IR 2021-Q4</t>
  </si>
  <si>
    <t>솔리다임(인텔 NAND) 편입, 상반기까지 견조</t>
  </si>
  <si>
    <t>SK하이닉스 IR 2022-Q1</t>
  </si>
  <si>
    <t>DRAM:74%, NAND:23%, 기타:3%</t>
  </si>
  <si>
    <t>역대 분기 최대 매출 기록 후 정점, 이후 급락 시작</t>
  </si>
  <si>
    <t>SK하이닉스 IR 2022-Q2</t>
  </si>
  <si>
    <t>세트(PC/모바일) 수요 급랭, DRAM 단가 -20% QoQ</t>
  </si>
  <si>
    <t>SK하이닉스 IR 2022-Q3</t>
  </si>
  <si>
    <t>10년 만에 적자 전환, 감산 공식 선언</t>
  </si>
  <si>
    <t>SK하이닉스 IR 2022-Q4</t>
  </si>
  <si>
    <t>사상 최악의 분기 적자, DRAM 단가 사상 최저치</t>
  </si>
  <si>
    <t>SK하이닉스 IR 2023-Q1</t>
  </si>
  <si>
    <t>DRAM:75%, NAND:21%, 기타:4%</t>
  </si>
  <si>
    <t>HBM3 엔비디아 독점 공급 개시, 적자 폭 축소</t>
  </si>
  <si>
    <t>SK하이닉스 IR 2023-Q2</t>
  </si>
  <si>
    <t>DRAM:78%, NAND:19%, 기타:3%</t>
  </si>
  <si>
    <t>DRAM 부문 먼저 흑자 전환 성공, HBM3 매출 기여 확대</t>
  </si>
  <si>
    <t>SK하이닉스 IR 2023-Q3</t>
  </si>
  <si>
    <t>2024-01-25</t>
  </si>
  <si>
    <t>DRAM:80%, NAND:17%, 기타:3%</t>
  </si>
  <si>
    <t>전사 영업이익 흑자 전환 (턴어라운드), HBM3E 개발 완료</t>
  </si>
  <si>
    <t>SK하이닉스 IR 2023-Q4</t>
  </si>
  <si>
    <t>DRAM:80% (HBM 비중 15%+), NAND:17%, 기타:3%</t>
  </si>
  <si>
    <t>HBM3E 8단 양산 및 엔비디아 독점 공급 지속</t>
  </si>
  <si>
    <t>SK하이닉스 IR 2024-Q1</t>
  </si>
  <si>
    <t>2024-07-25</t>
  </si>
  <si>
    <t>DRAM:81% (HBM 매출비중 25%+), NAND:16%, 기타:3%</t>
  </si>
  <si>
    <t>영업이익률 33% 돌파, HBM 매출 분기 최대</t>
  </si>
  <si>
    <t>SK하이닉스 IR 2024-Q2</t>
  </si>
  <si>
    <t>2024-10-24</t>
  </si>
  <si>
    <t>DRAM:82% (HBM 35%), NAND:15%, 기타:3%</t>
  </si>
  <si>
    <t>영업이익 7조 원 돌파, 삼성 DS부문 영업이익 추월</t>
  </si>
  <si>
    <t>SK하이닉스 IR 2024-Q3</t>
  </si>
  <si>
    <t>2025-01-23</t>
  </si>
  <si>
    <t>DRAM:82% (HBM 40%+), NAND:16%, 기타:2%</t>
  </si>
  <si>
    <t>연간 영업이익 23.5조 원 사상 최대, HBM 시장 50%+ 점유</t>
  </si>
  <si>
    <t>SK하이닉스 IR 2024-Q4</t>
  </si>
  <si>
    <t>DRAM:83% (HBM 45%), NAND:15%, 기타:2%</t>
  </si>
  <si>
    <t>HBM3E 12단 메인스트림화, 2025 물량 전량 솔드아웃</t>
  </si>
  <si>
    <t>SK하이닉스 IR 2025-Q1</t>
  </si>
  <si>
    <t>DRAM:84% (HBM 48%), NAND:14%, 기타:2%</t>
  </si>
  <si>
    <t>HBM4 샘플 엔비디아 인증 완료, 청주 M15X 가동</t>
  </si>
  <si>
    <t>SK하이닉스 IR 2025-Q2</t>
  </si>
  <si>
    <t>DRAM:85% (HBM 52%), NAND:13%, 기타:2%</t>
  </si>
  <si>
    <t>HBM4 16단 양산 개시, TSMC CoWoS 협력 강화</t>
  </si>
  <si>
    <t>SK하이닉스 IR 2026-Q1</t>
  </si>
  <si>
    <t>DRAM:86% (HBM 55%), NAND:12%, 기타:2%</t>
  </si>
  <si>
    <t>분기 매출 28조 원 육박, 연간 110조 원 페이스</t>
  </si>
  <si>
    <t>SK하이닉스 IR 2026-Q2</t>
  </si>
  <si>
    <t>DRAM:86%, NAND:12%</t>
  </si>
  <si>
    <t>컨센서스 전망: 용인 클러스터 1기 Fab 가동 효과</t>
  </si>
  <si>
    <t>DRAM:87%, NAND:11%</t>
  </si>
  <si>
    <t>컨센서스 전망: 연간 매출 114조 원, 영업이익 50조 원</t>
  </si>
  <si>
    <t>WDC</t>
  </si>
  <si>
    <t>샌디스크/WDC</t>
  </si>
  <si>
    <t>Western Digital</t>
  </si>
  <si>
    <t>2021-11-04</t>
  </si>
  <si>
    <t>https://www.sec.gov/Archives/edgar/data/106040/000010604021000053/</t>
  </si>
  <si>
    <t>2021-02-09</t>
  </si>
  <si>
    <t>https://www.sec.gov/Archives/edgar/data/106040/000010604021000011/</t>
  </si>
  <si>
    <t>2021-05-06</t>
  </si>
  <si>
    <t>https://www.sec.gov/Archives/edgar/data/106040/000010604021000024/</t>
  </si>
  <si>
    <t>https://www.sec.gov/Archives/edgar/data/106040/000010604022000055/</t>
  </si>
  <si>
    <t>https://www.sec.gov/Archives/edgar/data/106040/000010604022000065/</t>
  </si>
  <si>
    <t>2023-02-03</t>
  </si>
  <si>
    <t>https://www.sec.gov/Archives/edgar/data/106040/000010604023000010/</t>
  </si>
  <si>
    <t>https://www.sec.gov/Archives/edgar/data/106040/000010604022000040/</t>
  </si>
  <si>
    <t>2023-08-22</t>
  </si>
  <si>
    <t>https://www.sec.gov/Archives/edgar/data/106040/000010604023000024/</t>
  </si>
  <si>
    <t>2023-11-07</t>
  </si>
  <si>
    <t>https://www.sec.gov/Archives/edgar/data/106040/000010604023000034/</t>
  </si>
  <si>
    <t>2024-02-12</t>
  </si>
  <si>
    <t>https://www.sec.gov/Archives/edgar/data/106040/000010604024000014/</t>
  </si>
  <si>
    <t>2023-05-10</t>
  </si>
  <si>
    <t>https://www.sec.gov/Archives/edgar/data/106040/000010604023000017/</t>
  </si>
  <si>
    <t>2024-08-20</t>
  </si>
  <si>
    <t>https://www.sec.gov/Archives/edgar/data/106040/000010604024000031/</t>
  </si>
  <si>
    <t>https://www.sec.gov/Archives/edgar/data/106040/000010604024000040/</t>
  </si>
  <si>
    <t>https://www.sec.gov/Archives/edgar/data/106040/000010604025000008/</t>
  </si>
  <si>
    <t>https://www.sec.gov/Archives/edgar/data/106040/000010604024000022/</t>
  </si>
  <si>
    <t>https://www.sec.gov/Archives/edgar/data/106040/000162828025047613/</t>
  </si>
  <si>
    <t>https://www.sec.gov/Archives/edgar/data/106040/000162828026004207/</t>
  </si>
  <si>
    <t>2025-05-02</t>
  </si>
  <si>
    <t>https://www.sec.gov/Archives/edgar/data/106040/000010604025000026/</t>
  </si>
  <si>
    <t>2026-05-01</t>
  </si>
  <si>
    <t>https://www.sec.gov/Archives/edgar/data/106040/000162828026029054/</t>
  </si>
  <si>
    <t>2026-08-14</t>
  </si>
  <si>
    <t>https://www.sec.gov/Archives/edgar/data/106040/000162828026057139/</t>
  </si>
  <si>
    <t>ARISTA</t>
  </si>
  <si>
    <t>아리스타</t>
  </si>
  <si>
    <t>Arista Networks</t>
  </si>
  <si>
    <t>L6_OPTICAL</t>
  </si>
  <si>
    <t>ANET</t>
  </si>
  <si>
    <t>https://www.sec.gov/Archives/edgar/data/1596532/000159653221000149/</t>
  </si>
  <si>
    <t>2021-08-03</t>
  </si>
  <si>
    <t>https://www.sec.gov/Archives/edgar/data/1596532/000159653221000255/</t>
  </si>
  <si>
    <t>2021-11-02</t>
  </si>
  <si>
    <t>https://www.sec.gov/Archives/edgar/data/1596532/000159653221000354/</t>
  </si>
  <si>
    <t>2023-02-14</t>
  </si>
  <si>
    <t>https://www.sec.gov/Archives/edgar/data/1596532/000159653223000016/</t>
  </si>
  <si>
    <t>2022-05-03</t>
  </si>
  <si>
    <t>https://www.sec.gov/Archives/edgar/data/1596532/000159653222000112/</t>
  </si>
  <si>
    <t>2022-08-02</t>
  </si>
  <si>
    <t>https://www.sec.gov/Archives/edgar/data/1596532/000159653222000220/</t>
  </si>
  <si>
    <t>2022-11-01</t>
  </si>
  <si>
    <t>https://www.sec.gov/Archives/edgar/data/1596532/000159653222000294/</t>
  </si>
  <si>
    <t>2024-02-13</t>
  </si>
  <si>
    <t>https://www.sec.gov/Archives/edgar/data/1596532/000159653224000043/</t>
  </si>
  <si>
    <t>2023-05-02</t>
  </si>
  <si>
    <t>https://www.sec.gov/Archives/edgar/data/1596532/000159653223000104/</t>
  </si>
  <si>
    <t>https://www.sec.gov/Archives/edgar/data/1596532/000159653223000197/</t>
  </si>
  <si>
    <t>https://www.sec.gov/Archives/edgar/data/1596532/000159653223000274/</t>
  </si>
  <si>
    <t>2025-02-19</t>
  </si>
  <si>
    <t>https://www.sec.gov/Archives/edgar/data/1596532/000159653225000028/</t>
  </si>
  <si>
    <t>2024-05-08</t>
  </si>
  <si>
    <t>https://www.sec.gov/Archives/edgar/data/1596532/000159653224000173/</t>
  </si>
  <si>
    <t>https://www.sec.gov/Archives/edgar/data/1596532/000159653224000279/</t>
  </si>
  <si>
    <t>2024-11-08</t>
  </si>
  <si>
    <t>https://www.sec.gov/Archives/edgar/data/1596532/000159653224000368/</t>
  </si>
  <si>
    <t>2026-02-17</t>
  </si>
  <si>
    <t>https://www.sec.gov/Archives/edgar/data/1596532/000159653226000013/</t>
  </si>
  <si>
    <t>https://www.sec.gov/Archives/edgar/data/1596532/000159653225000106/</t>
  </si>
  <si>
    <t>https://www.sec.gov/Archives/edgar/data/1596532/000159653225000216/</t>
  </si>
  <si>
    <t>https://www.sec.gov/Archives/edgar/data/1596532/000159653225000286/</t>
  </si>
  <si>
    <t>https://www.sec.gov/Archives/edgar/data/1596532/000159653226000078/</t>
  </si>
  <si>
    <t>https://www.sec.gov/Archives/edgar/data/1596532/000159653226000175/</t>
  </si>
  <si>
    <t>COHERENT</t>
  </si>
  <si>
    <t>노발리</t>
  </si>
  <si>
    <t>Coherent/Novalit</t>
  </si>
  <si>
    <t>COHR</t>
  </si>
  <si>
    <t>2021-11-09</t>
  </si>
  <si>
    <t>https://www.sec.gov/Archives/edgar/data/820318/000082031821000022/</t>
  </si>
  <si>
    <t>2022-02-09</t>
  </si>
  <si>
    <t>https://www.sec.gov/Archives/edgar/data/820318/000082031822000004/</t>
  </si>
  <si>
    <t>2021-05-07</t>
  </si>
  <si>
    <t>https://www.sec.gov/Archives/edgar/data/820318/000082031821000012/</t>
  </si>
  <si>
    <t>2022-08-29</t>
  </si>
  <si>
    <t>https://www.sec.gov/Archives/edgar/data/820318/000082031822000019/</t>
  </si>
  <si>
    <t>2022-11-09</t>
  </si>
  <si>
    <t>https://www.sec.gov/Archives/edgar/data/820318/000082031822000027/</t>
  </si>
  <si>
    <t>2023-02-08</t>
  </si>
  <si>
    <t>https://www.sec.gov/Archives/edgar/data/820318/000082031823000005/</t>
  </si>
  <si>
    <t>2022-05-10</t>
  </si>
  <si>
    <t>https://www.sec.gov/Archives/edgar/data/820318/000082031822000010/</t>
  </si>
  <si>
    <t>2023-08-18</t>
  </si>
  <si>
    <t>https://www.sec.gov/Archives/edgar/data/820318/000082031823000016/</t>
  </si>
  <si>
    <t>https://www.sec.gov/Archives/edgar/data/820318/000082031823000029/</t>
  </si>
  <si>
    <t>2024-02-06</t>
  </si>
  <si>
    <t>https://www.sec.gov/Archives/edgar/data/820318/000082031824000004/</t>
  </si>
  <si>
    <t>https://www.sec.gov/Archives/edgar/data/820318/000082031823000009/</t>
  </si>
  <si>
    <t>2024-08-16</t>
  </si>
  <si>
    <t>https://www.sec.gov/Archives/edgar/data/820318/000082031824000016/</t>
  </si>
  <si>
    <t>2024-11-06</t>
  </si>
  <si>
    <t>https://www.sec.gov/Archives/edgar/data/820318/000082031824000035/</t>
  </si>
  <si>
    <t>https://www.sec.gov/Archives/edgar/data/820318/000082031825000004/</t>
  </si>
  <si>
    <t>2024-05-07</t>
  </si>
  <si>
    <t>https://www.sec.gov/Archives/edgar/data/820318/000082031824000009/</t>
  </si>
  <si>
    <t>2025-08-15</t>
  </si>
  <si>
    <t>https://www.sec.gov/Archives/edgar/data/820318/000082031825000014/</t>
  </si>
  <si>
    <t>https://www.sec.gov/Archives/edgar/data/820318/000082031825000019/</t>
  </si>
  <si>
    <t>https://www.sec.gov/Archives/edgar/data/820318/000082031826000006/</t>
  </si>
  <si>
    <t>https://www.sec.gov/Archives/edgar/data/820318/000082031825000009/</t>
  </si>
  <si>
    <t>https://www.sec.gov/Archives/edgar/data/820318/000082031826000020/</t>
  </si>
  <si>
    <t>https://www.sec.gov/Archives/edgar/data/820318/000082031826000013/</t>
  </si>
  <si>
    <t>MARVELL</t>
  </si>
  <si>
    <t>마벨</t>
  </si>
  <si>
    <t>Marvell Technology</t>
  </si>
  <si>
    <t>MRVL</t>
  </si>
  <si>
    <t>2021-06-09</t>
  </si>
  <si>
    <t>https://www.sec.gov/Archives/edgar/data/1835632/000183563221000010/</t>
  </si>
  <si>
    <t>2021-08-27</t>
  </si>
  <si>
    <t>https://www.sec.gov/Archives/edgar/data/1835632/000183563221000022/</t>
  </si>
  <si>
    <t>2021-12-03</t>
  </si>
  <si>
    <t>https://www.sec.gov/Archives/edgar/data/1835632/000183563221000032/</t>
  </si>
  <si>
    <t>2022-05-27</t>
  </si>
  <si>
    <t>https://www.sec.gov/Archives/edgar/data/1835632/000183563222000028/</t>
  </si>
  <si>
    <t>2022-08-26</t>
  </si>
  <si>
    <t>https://www.sec.gov/Archives/edgar/data/1835632/000183563222000041/</t>
  </si>
  <si>
    <t>2022-12-02</t>
  </si>
  <si>
    <t>https://www.sec.gov/Archives/edgar/data/1835632/000183563222000053/</t>
  </si>
  <si>
    <t>2023-03-09</t>
  </si>
  <si>
    <t>https://www.sec.gov/Archives/edgar/data/1835632/000183563223000013/</t>
  </si>
  <si>
    <t>https://www.sec.gov/Archives/edgar/data/1835632/000183563223000029/</t>
  </si>
  <si>
    <t>2023-08-25</t>
  </si>
  <si>
    <t>https://www.sec.gov/Archives/edgar/data/1835632/000183563223000038/</t>
  </si>
  <si>
    <t>2023-12-01</t>
  </si>
  <si>
    <t>https://www.sec.gov/Archives/edgar/data/1835632/000183563223000046/</t>
  </si>
  <si>
    <t>2024-03-13</t>
  </si>
  <si>
    <t>https://www.sec.gov/Archives/edgar/data/1835632/000183563224000009/</t>
  </si>
  <si>
    <t>2024-05-31</t>
  </si>
  <si>
    <t>https://www.sec.gov/Archives/edgar/data/1835632/000183563224000063/</t>
  </si>
  <si>
    <t>2024-08-30</t>
  </si>
  <si>
    <t>https://www.sec.gov/Archives/edgar/data/1835632/000183563224000142/</t>
  </si>
  <si>
    <t>2024-12-04</t>
  </si>
  <si>
    <t>https://www.sec.gov/Archives/edgar/data/1835632/000183563224000200/</t>
  </si>
  <si>
    <t>https://www.sec.gov/Archives/edgar/data/1835632/000183563225000057/</t>
  </si>
  <si>
    <t>2025-05-30</t>
  </si>
  <si>
    <t>https://www.sec.gov/Archives/edgar/data/1835632/000183563225000117/</t>
  </si>
  <si>
    <t>2025-08-29</t>
  </si>
  <si>
    <t>https://www.sec.gov/Archives/edgar/data/1835632/000183563225000189/</t>
  </si>
  <si>
    <t>2025-12-03</t>
  </si>
  <si>
    <t>https://www.sec.gov/Archives/edgar/data/1835632/000183563225000197/</t>
  </si>
  <si>
    <t>https://www.sec.gov/Archives/edgar/data/1835632/000183563226000011/</t>
  </si>
  <si>
    <t>https://www.sec.gov/Archives/edgar/data/1835632/000183563226000019/</t>
  </si>
  <si>
    <t>2026-08-28</t>
  </si>
  <si>
    <t>https://www.sec.gov/Archives/edgar/data/1835632/000183563226000025/</t>
  </si>
  <si>
    <t>APPLE</t>
  </si>
  <si>
    <t>애플</t>
  </si>
  <si>
    <t>Apple</t>
  </si>
  <si>
    <t>L7_INFRA</t>
  </si>
  <si>
    <t>AAPL</t>
  </si>
  <si>
    <t>https://www.sec.gov/Archives/edgar/data/320193/000032019322000007/</t>
  </si>
  <si>
    <t>https://www.sec.gov/Archives/edgar/data/320193/000032019321000056/</t>
  </si>
  <si>
    <t>https://www.sec.gov/Archives/edgar/data/320193/000032019321000065/</t>
  </si>
  <si>
    <t>https://www.sec.gov/Archives/edgar/data/320193/000032019322000108/</t>
  </si>
  <si>
    <t>https://www.sec.gov/Archives/edgar/data/320193/000032019323000006/</t>
  </si>
  <si>
    <t>https://www.sec.gov/Archives/edgar/data/320193/000032019322000059/</t>
  </si>
  <si>
    <t>https://www.sec.gov/Archives/edgar/data/320193/000032019322000070/</t>
  </si>
  <si>
    <t>2023-11-03</t>
  </si>
  <si>
    <t>https://www.sec.gov/Archives/edgar/data/320193/000032019323000106/</t>
  </si>
  <si>
    <t>2024-02-02</t>
  </si>
  <si>
    <t>https://www.sec.gov/Archives/edgar/data/320193/000032019324000006/</t>
  </si>
  <si>
    <t>2023-05-05</t>
  </si>
  <si>
    <t>https://www.sec.gov/Archives/edgar/data/320193/000032019323000064/</t>
  </si>
  <si>
    <t>https://www.sec.gov/Archives/edgar/data/320193/000032019323000077/</t>
  </si>
  <si>
    <t>https://www.sec.gov/Archives/edgar/data/320193/000032019324000123/</t>
  </si>
  <si>
    <t>https://www.sec.gov/Archives/edgar/data/320193/000032019325000008/</t>
  </si>
  <si>
    <t>2024-05-03</t>
  </si>
  <si>
    <t>https://www.sec.gov/Archives/edgar/data/320193/000032019324000069/</t>
  </si>
  <si>
    <t>https://www.sec.gov/Archives/edgar/data/320193/000032019324000081/</t>
  </si>
  <si>
    <t>https://www.sec.gov/Archives/edgar/data/320193/000032019325000079/</t>
  </si>
  <si>
    <t>https://www.sec.gov/Archives/edgar/data/320193/000032019326000006/</t>
  </si>
  <si>
    <t>https://www.sec.gov/Archives/edgar/data/320193/000032019325000057/</t>
  </si>
  <si>
    <t>2025-08-01</t>
  </si>
  <si>
    <t>https://www.sec.gov/Archives/edgar/data/320193/000032019325000073/</t>
  </si>
  <si>
    <t>https://www.sec.gov/Archives/edgar/data/320193/000032019326000013/</t>
  </si>
  <si>
    <t>https://www.sec.gov/Archives/edgar/data/320193/000032019326000020/</t>
  </si>
  <si>
    <t>EATON</t>
  </si>
  <si>
    <t>이튼</t>
  </si>
  <si>
    <t>Eaton Corporation</t>
  </si>
  <si>
    <t>L8_POWER</t>
  </si>
  <si>
    <t>ETN</t>
  </si>
  <si>
    <t>2021-05-04</t>
  </si>
  <si>
    <t>https://www.sec.gov/Archives/edgar/data/1551182/000155118221000120/</t>
  </si>
  <si>
    <t>https://www.sec.gov/Archives/edgar/data/1551182/000155118221000161/</t>
  </si>
  <si>
    <t>https://www.sec.gov/Archives/edgar/data/1551182/000155118221000184/</t>
  </si>
  <si>
    <t>https://www.sec.gov/Archives/edgar/data/1551182/000155118223000004/</t>
  </si>
  <si>
    <t>https://www.sec.gov/Archives/edgar/data/1551182/000155118222000008/</t>
  </si>
  <si>
    <t>https://www.sec.gov/Archives/edgar/data/1551182/000155118222000020/</t>
  </si>
  <si>
    <t>https://www.sec.gov/Archives/edgar/data/1551182/000155118222000024/</t>
  </si>
  <si>
    <t>2024-02-29</t>
  </si>
  <si>
    <t>https://www.sec.gov/Archives/edgar/data/1551182/000155118224000006/</t>
  </si>
  <si>
    <t>https://www.sec.gov/Archives/edgar/data/1551182/000155118223000008/</t>
  </si>
  <si>
    <t>https://www.sec.gov/Archives/edgar/data/1551182/000155118223000024/</t>
  </si>
  <si>
    <t>https://www.sec.gov/Archives/edgar/data/1551182/000155118223000029/</t>
  </si>
  <si>
    <t>2025-02-27</t>
  </si>
  <si>
    <t>https://www.sec.gov/Archives/edgar/data/1551182/000155118225000006/</t>
  </si>
  <si>
    <t>https://www.sec.gov/Archives/edgar/data/1551182/000155118224000013/</t>
  </si>
  <si>
    <t>https://www.sec.gov/Archives/edgar/data/1551182/000155118224000035/</t>
  </si>
  <si>
    <t>https://www.sec.gov/Archives/edgar/data/1551182/000155118224000041/</t>
  </si>
  <si>
    <t>2026-02-26</t>
  </si>
  <si>
    <t>https://www.sec.gov/Archives/edgar/data/1551182/000155118226000007/</t>
  </si>
  <si>
    <t>https://www.sec.gov/Archives/edgar/data/1551182/000155118225000014/</t>
  </si>
  <si>
    <t>2025-08-05</t>
  </si>
  <si>
    <t>https://www.sec.gov/Archives/edgar/data/1551182/000155118225000028/</t>
  </si>
  <si>
    <t>2025-11-04</t>
  </si>
  <si>
    <t>https://www.sec.gov/Archives/edgar/data/1551182/000155118225000036/</t>
  </si>
  <si>
    <t>2026-05-05</t>
  </si>
  <si>
    <t>https://www.sec.gov/Archives/edgar/data/1551182/000155118226000013/</t>
  </si>
  <si>
    <t>https://www.sec.gov/Archives/edgar/data/1551182/000155118226000030/</t>
  </si>
  <si>
    <t>GE_VERNOVA</t>
  </si>
  <si>
    <t>GE 버노바</t>
  </si>
  <si>
    <t>GE Vernova</t>
  </si>
  <si>
    <t>GEV</t>
  </si>
  <si>
    <t>https://www.sec.gov/Archives/edgar/data/1996810/000199681024000008/</t>
  </si>
  <si>
    <t>2024-07-24</t>
  </si>
  <si>
    <t>https://www.sec.gov/Archives/edgar/data/1996810/000199681024000067/</t>
  </si>
  <si>
    <t>2024-10-23</t>
  </si>
  <si>
    <t>https://www.sec.gov/Archives/edgar/data/1996810/000199681024000083/</t>
  </si>
  <si>
    <t>https://www.sec.gov/Archives/edgar/data/1996810/000199681026000015/</t>
  </si>
  <si>
    <t>2025-04-23</t>
  </si>
  <si>
    <t>https://www.sec.gov/Archives/edgar/data/1996810/000199681025000073/</t>
  </si>
  <si>
    <t>https://www.sec.gov/Archives/edgar/data/1996810/000199681025000133/</t>
  </si>
  <si>
    <t>2025-10-22</t>
  </si>
  <si>
    <t>https://www.sec.gov/Archives/edgar/data/1996810/000199681025000160/</t>
  </si>
  <si>
    <t>2026-04-22</t>
  </si>
  <si>
    <t>https://www.sec.gov/Archives/edgar/data/1996810/000199681026000064/</t>
  </si>
  <si>
    <t>2026-07-22</t>
  </si>
  <si>
    <t>https://www.sec.gov/Archives/edgar/data/1996810/000199681026000148/</t>
  </si>
  <si>
    <t>VERTIV</t>
  </si>
  <si>
    <t>버티브</t>
  </si>
  <si>
    <t>Vertiv Holdings</t>
  </si>
  <si>
    <t>VRT</t>
  </si>
  <si>
    <t>2021-05-03</t>
  </si>
  <si>
    <t>https://www.sec.gov/Archives/edgar/data/1674101/000162828021008627/</t>
  </si>
  <si>
    <t>2021-08-02</t>
  </si>
  <si>
    <t>https://www.sec.gov/Archives/edgar/data/1674101/000162828021015172/</t>
  </si>
  <si>
    <t>2021-11-01</t>
  </si>
  <si>
    <t>https://www.sec.gov/Archives/edgar/data/1674101/000162828021020992/</t>
  </si>
  <si>
    <t>https://www.sec.gov/Archives/edgar/data/1674101/000162828023005248/</t>
  </si>
  <si>
    <t>2022-05-02</t>
  </si>
  <si>
    <t>https://www.sec.gov/Archives/edgar/data/1674101/000162828022011733/</t>
  </si>
  <si>
    <t>https://www.sec.gov/Archives/edgar/data/1674101/000162828022020322/</t>
  </si>
  <si>
    <t>2022-10-31</t>
  </si>
  <si>
    <t>https://www.sec.gov/Archives/edgar/data/1674101/000162828022027344/</t>
  </si>
  <si>
    <t>2024-02-23</t>
  </si>
  <si>
    <t>https://www.sec.gov/Archives/edgar/data/1674101/000162828024006498/</t>
  </si>
  <si>
    <t>https://www.sec.gov/Archives/edgar/data/1674101/000162828023013730/</t>
  </si>
  <si>
    <t>https://www.sec.gov/Archives/edgar/data/1674101/000162828023026777/</t>
  </si>
  <si>
    <t>https://www.sec.gov/Archives/edgar/data/1674101/000162828023035351/</t>
  </si>
  <si>
    <t>2025-02-18</t>
  </si>
  <si>
    <t>https://www.sec.gov/Archives/edgar/data/1674101/000162828025005905/</t>
  </si>
  <si>
    <t>https://www.sec.gov/Archives/edgar/data/1674101/000162828024018417/</t>
  </si>
  <si>
    <t>2024-07-26</t>
  </si>
  <si>
    <t>https://www.sec.gov/Archives/edgar/data/1674101/000162828024033173/</t>
  </si>
  <si>
    <t>2024-10-25</t>
  </si>
  <si>
    <t>https://www.sec.gov/Archives/edgar/data/1674101/000162828024043698/</t>
  </si>
  <si>
    <t>2026-02-13</t>
  </si>
  <si>
    <t>https://www.sec.gov/Archives/edgar/data/1674101/000167410126000008/</t>
  </si>
  <si>
    <t>https://www.sec.gov/Archives/edgar/data/1674101/000162828025019372/</t>
  </si>
  <si>
    <t>https://www.sec.gov/Archives/edgar/data/1674101/000167410125000008/</t>
  </si>
  <si>
    <t>https://www.sec.gov/Archives/edgar/data/1674101/000167410125000024/</t>
  </si>
  <si>
    <t>https://www.sec.gov/Archives/edgar/data/1674101/000162828026026556/</t>
  </si>
  <si>
    <t>https://www.sec.gov/Archives/edgar/data/1674101/000162828026050609/</t>
  </si>
  <si>
    <t>국가</t>
  </si>
  <si>
    <t>상장 여부</t>
  </si>
  <si>
    <t>설명</t>
  </si>
  <si>
    <t>수정일시</t>
  </si>
  <si>
    <t>ANTHROPIC</t>
  </si>
  <si>
    <t>앤트로픽</t>
  </si>
  <si>
    <t>Anthropic</t>
  </si>
  <si>
    <t>L1_AI_LAB</t>
  </si>
  <si>
    <t>US</t>
  </si>
  <si>
    <t>Claude AI 개발사, 구글·아마존 투자</t>
  </si>
  <si>
    <t>2026-09-11 02:28:14</t>
  </si>
  <si>
    <t>OPENAI</t>
  </si>
  <si>
    <t>오픈AI</t>
  </si>
  <si>
    <t>OpenAI</t>
  </si>
  <si>
    <t>GPT/ChatGPT 개발사, MS 투자</t>
  </si>
  <si>
    <t>AWS + Trainium + Bedrock</t>
  </si>
  <si>
    <t>COREWEAVE</t>
  </si>
  <si>
    <t>코어위브</t>
  </si>
  <si>
    <t>CoreWeave</t>
  </si>
  <si>
    <t>엔비디아 전략 투자 GPU 특화 네오클라우드, 앤트로픽 $518B 공급 파트너</t>
  </si>
  <si>
    <t>2026-09-16 09:42:53</t>
  </si>
  <si>
    <t>GCP + Gemini + TPU</t>
  </si>
  <si>
    <t>Llama 오픈소스 + MTIA ASIC</t>
  </si>
  <si>
    <t>Azure + OpenAI 파트너</t>
  </si>
  <si>
    <t>NEBIUS</t>
  </si>
  <si>
    <t>네비우스</t>
  </si>
  <si>
    <t>Nebius Group</t>
  </si>
  <si>
    <t>NL</t>
  </si>
  <si>
    <t>NBIS</t>
  </si>
  <si>
    <t>나스닥 상장 대규모 AI 인프라 및 GPU 네오클라우드</t>
  </si>
  <si>
    <t>OCI + AI 인프라 확장</t>
  </si>
  <si>
    <t>MI300/MI400 GPU + EPYC CPU</t>
  </si>
  <si>
    <t>UK</t>
  </si>
  <si>
    <t>빅테크 자체 가속기(Axion, Graviton) CPU 아키텍처 독점 라이선스</t>
  </si>
  <si>
    <t>AI ASIC 설계 + 네트워킹</t>
  </si>
  <si>
    <t>데이터센터 x86 제온 CPU 및 파운드리</t>
  </si>
  <si>
    <t>GPU + CUDA + DGX Cloud</t>
  </si>
  <si>
    <t>미국 애리조나 첨단 2.5D 패키징 협력사</t>
  </si>
  <si>
    <t>반도체 증착·배선 및 첨단 패키징 장비 1위</t>
  </si>
  <si>
    <t>TW</t>
  </si>
  <si>
    <t>글로벌 1위 OSAT, TSMC CoWoS 패키징 외주 파트너</t>
  </si>
  <si>
    <t>ASML</t>
  </si>
  <si>
    <t>EUV/High-NA EUV 독점</t>
  </si>
  <si>
    <t>선단공정 및 패키징 수율 검사·계측 장비 독점</t>
  </si>
  <si>
    <t>HBM 3D 적층 및 고단화 DRAM 식각 장비 독점</t>
  </si>
  <si>
    <t>N2/A16 선단공정 + CoWoS</t>
  </si>
  <si>
    <t>JP</t>
  </si>
  <si>
    <t>NAND 플래시 및 AI 추론용 엔터프라이즈 eSSD 팹 운영</t>
  </si>
  <si>
    <t>HBM 3위 + 미국 유일 메모리</t>
  </si>
  <si>
    <t>KR</t>
  </si>
  <si>
    <t>DRAM 1위 + HBM + 파운드리</t>
  </si>
  <si>
    <t>HBM 세계 1위 (점유율 50%+)</t>
  </si>
  <si>
    <t>NAND + SSD</t>
  </si>
  <si>
    <t>AI 백엔드 클러스터용 800G/1.6T 고속 Ethernet 스위치 패브릭 독점적 지위</t>
  </si>
  <si>
    <t>광트랜시버 800G/1.6T</t>
  </si>
  <si>
    <t>AI DC 네트워킹 + 커스텀 ASIC</t>
  </si>
  <si>
    <t>TSMC 최대 고객 + 온디바이스 AI</t>
  </si>
  <si>
    <t>SOFTBANK</t>
  </si>
  <si>
    <t>소프트뱅크</t>
  </si>
  <si>
    <t>SoftBank Group</t>
  </si>
  <si>
    <t>9984</t>
  </si>
  <si>
    <t>ARM + AI 투자 펀드</t>
  </si>
  <si>
    <t>SPACEX</t>
  </si>
  <si>
    <t>스페이스X / xAI</t>
  </si>
  <si>
    <t>SpaceX / xAI</t>
  </si>
  <si>
    <t>Starlink 저궤도 위성 통신망 + xAI Colossus 100k GPU 슈퍼컴퓨터 및 자체 가스터빈 전력 인프라</t>
  </si>
  <si>
    <t>데이터센터 배전, 변압기, 고전압 UPS 및 전력 관리 솔루션</t>
  </si>
  <si>
    <t>데이터센터 전력 공급용 가스터빈, 독립 발전 및 전력망 솔루션</t>
  </si>
  <si>
    <t>SCHNEIDER</t>
  </si>
  <si>
    <t>슈나이더</t>
  </si>
  <si>
    <t>Schneider Electric</t>
  </si>
  <si>
    <t>FR</t>
  </si>
  <si>
    <t>SU</t>
  </si>
  <si>
    <t>데이터센터 전력 분배 장비, 냉각 및 인프라 자동화 솔루션</t>
  </si>
  <si>
    <t>AI 데이터센터 고밀도 액체냉각(Liquid Cooling) 및 전력 분배 인프라 1위</t>
  </si>
  <si>
    <t>데이터 사전 및 품질 메모</t>
  </si>
  <si>
    <t>필드</t>
  </si>
  <si>
    <t>한글명</t>
  </si>
  <si>
    <t>형식/단위</t>
  </si>
  <si>
    <t>주의사항</t>
  </si>
  <si>
    <t>id</t>
  </si>
  <si>
    <t>텍스트/숫자</t>
  </si>
  <si>
    <t>entity_id</t>
  </si>
  <si>
    <t>name_ko</t>
  </si>
  <si>
    <t>name_en</t>
  </si>
  <si>
    <t>layer</t>
  </si>
  <si>
    <t>ticker</t>
  </si>
  <si>
    <t>period</t>
  </si>
  <si>
    <t>YYYY-QN</t>
  </si>
  <si>
    <t>회계 분기</t>
  </si>
  <si>
    <t>예: 2026-Q2</t>
  </si>
  <si>
    <t>data_type</t>
  </si>
  <si>
    <t>is_forecast</t>
  </si>
  <si>
    <t>0/1</t>
  </si>
  <si>
    <t>확정/전망 판별</t>
  </si>
  <si>
    <t>0=확정, 1=전망</t>
  </si>
  <si>
    <t>report_date</t>
  </si>
  <si>
    <t>날짜 텍스트</t>
  </si>
  <si>
    <t>DB 원문 유지</t>
  </si>
  <si>
    <t>revenue</t>
  </si>
  <si>
    <t>숫자</t>
  </si>
  <si>
    <t>unit 열과 함께 해석</t>
  </si>
  <si>
    <t>op_income</t>
  </si>
  <si>
    <t>빈 셀은 미수집</t>
  </si>
  <si>
    <t>net_income</t>
  </si>
  <si>
    <t>unit</t>
  </si>
  <si>
    <t>텍스트</t>
  </si>
  <si>
    <t>금액 단위</t>
  </si>
  <si>
    <t>B_USD=십억 달러, T_KRW=조 원</t>
  </si>
  <si>
    <t>eps_actual</t>
  </si>
  <si>
    <t>eps_consensus</t>
  </si>
  <si>
    <t>consensus_revenue</t>
  </si>
  <si>
    <t>beat_miss_status</t>
  </si>
  <si>
    <t>gross_margin_pct</t>
  </si>
  <si>
    <t>퍼센트포인트</t>
  </si>
  <si>
    <t>매출총이익률</t>
  </si>
  <si>
    <t>65.4는 65.4%</t>
  </si>
  <si>
    <t>op_margin_pct</t>
  </si>
  <si>
    <t>영업이익률</t>
  </si>
  <si>
    <t>25.0은 25.0%</t>
  </si>
  <si>
    <t>capex</t>
  </si>
  <si>
    <t>설비투자</t>
  </si>
  <si>
    <t>revenue_breakdown</t>
  </si>
  <si>
    <t>guidance_next_q</t>
  </si>
  <si>
    <t>key_takeaways</t>
  </si>
  <si>
    <t>source</t>
  </si>
  <si>
    <t>텍스트/URL</t>
  </si>
  <si>
    <t>created_at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</si>
</sst>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;[Red](0.00);-"/>
    <numFmt numFmtId="166" formatCode="#,##0.00;[Red](#,##0.00);-"/>
  </numFmts>
  <fonts count="8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0"/>
      <color rgb="FF4454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44546A"/>
      <name val="Calibri"/>
      <family val="2"/>
      <scheme val="minor"/>
    </font>
    <font>
      <b/>
      <sz val="16"/>
      <color rgb="FF17365D"/>
      <name val="Calibri"/>
      <family val="2"/>
      <scheme val="minor"/>
    </font>
    <font>
      <sz val="9"/>
      <color rgb="FF666666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center"/>
    </xf>
    <xf numFmtId="164" fontId="5" fillId="5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165" fontId="0" fillId="0" borderId="0" xfId="0" applyNumberFormat="1" applyAlignment="1">
      <alignment horizontal="right"/>
    </xf>
    <xf numFmtId="0" fontId="6" fillId="0" borderId="0" xfId="0" applyFont="1" applyAlignment="1">
      <alignment vertical="top" wrapText="1"/>
    </xf>
    <xf numFmtId="166" fontId="0" fillId="0" borderId="0" xfId="0" applyNumberFormat="1" applyAlignment="1">
      <alignment horizontal="right"/>
    </xf>
    <xf numFmtId="0" fontId="0" fillId="0" borderId="0" xfId="0" applyAlignment="1">
      <alignment vertical="top" wrapText="1"/>
    </xf>
    <xf numFmtId="0" fontId="7" fillId="0" borderId="0" xfId="0" applyFont="1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2">
    <dxf>
      <fill>
        <patternFill>
          <bgColor rgb="FFFFF2CC"/>
        </patternFill>
      </fill>
    </dxf>
    <dxf>
      <fill>
        <patternFill>
          <bgColor rgb="FFE2F0D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_전체_실적" displayName="T_전체_실적" ref="A1:Z643" totalsRowShown="0">
  <autoFilter ref="A1:Z643"/>
  <tableColumns count="26">
    <tableColumn id="1" name="ID"/>
    <tableColumn id="2" name="기업 ID"/>
    <tableColumn id="3" name="기업명(한글)"/>
    <tableColumn id="4" name="기업명(영문)"/>
    <tableColumn id="5" name="레이어"/>
    <tableColumn id="6" name="티커"/>
    <tableColumn id="7" name="분기"/>
    <tableColumn id="8" name="구분"/>
    <tableColumn id="9" name="전망 플래그"/>
    <tableColumn id="10" name="발표일"/>
    <tableColumn id="11" name="매출"/>
    <tableColumn id="12" name="영업이익"/>
    <tableColumn id="13" name="순이익"/>
    <tableColumn id="14" name="단위"/>
    <tableColumn id="15" name="EPS 실제"/>
    <tableColumn id="16" name="EPS 컨센서스"/>
    <tableColumn id="17" name="매출 컨센서스"/>
    <tableColumn id="18" name="Beat/Miss"/>
    <tableColumn id="19" name="매출총이익률(%)"/>
    <tableColumn id="20" name="영업이익률(%)"/>
    <tableColumn id="21" name="Capex"/>
    <tableColumn id="22" name="매출 세부"/>
    <tableColumn id="23" name="다음 분기 가이던스"/>
    <tableColumn id="24" name="핵심 포인트"/>
    <tableColumn id="25" name="출처"/>
    <tableColumn id="26" name="생성일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확정_실적" displayName="T_확정_실적" ref="A1:Z626" totalsRowShown="0">
  <autoFilter ref="A1:Z626"/>
  <tableColumns count="26">
    <tableColumn id="1" name="ID"/>
    <tableColumn id="2" name="기업 ID"/>
    <tableColumn id="3" name="기업명(한글)"/>
    <tableColumn id="4" name="기업명(영문)"/>
    <tableColumn id="5" name="레이어"/>
    <tableColumn id="6" name="티커"/>
    <tableColumn id="7" name="분기"/>
    <tableColumn id="8" name="구분"/>
    <tableColumn id="9" name="전망 플래그"/>
    <tableColumn id="10" name="발표일"/>
    <tableColumn id="11" name="매출"/>
    <tableColumn id="12" name="영업이익"/>
    <tableColumn id="13" name="순이익"/>
    <tableColumn id="14" name="단위"/>
    <tableColumn id="15" name="EPS 실제"/>
    <tableColumn id="16" name="EPS 컨센서스"/>
    <tableColumn id="17" name="매출 컨센서스"/>
    <tableColumn id="18" name="Beat/Miss"/>
    <tableColumn id="19" name="매출총이익률(%)"/>
    <tableColumn id="20" name="영업이익률(%)"/>
    <tableColumn id="21" name="Capex"/>
    <tableColumn id="22" name="매출 세부"/>
    <tableColumn id="23" name="다음 분기 가이던스"/>
    <tableColumn id="24" name="핵심 포인트"/>
    <tableColumn id="25" name="출처"/>
    <tableColumn id="26" name="생성일시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전망치" displayName="T_전망치" ref="A1:Z18" totalsRowShown="0">
  <autoFilter ref="A1:Z18"/>
  <tableColumns count="26">
    <tableColumn id="1" name="ID"/>
    <tableColumn id="2" name="기업 ID"/>
    <tableColumn id="3" name="기업명(한글)"/>
    <tableColumn id="4" name="기업명(영문)"/>
    <tableColumn id="5" name="레이어"/>
    <tableColumn id="6" name="티커"/>
    <tableColumn id="7" name="분기"/>
    <tableColumn id="8" name="구분"/>
    <tableColumn id="9" name="전망 플래그"/>
    <tableColumn id="10" name="발표일"/>
    <tableColumn id="11" name="매출"/>
    <tableColumn id="12" name="영업이익"/>
    <tableColumn id="13" name="순이익"/>
    <tableColumn id="14" name="단위"/>
    <tableColumn id="15" name="EPS 실제"/>
    <tableColumn id="16" name="EPS 컨센서스"/>
    <tableColumn id="17" name="매출 컨센서스"/>
    <tableColumn id="18" name="Beat/Miss"/>
    <tableColumn id="19" name="매출총이익률(%)"/>
    <tableColumn id="20" name="영업이익률(%)"/>
    <tableColumn id="21" name="Capex"/>
    <tableColumn id="22" name="매출 세부"/>
    <tableColumn id="23" name="다음 분기 가이던스"/>
    <tableColumn id="24" name="핵심 포인트"/>
    <tableColumn id="25" name="출처"/>
    <tableColumn id="26" name="생성일시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Entities" displayName="T_Entities" ref="A1:J37" totalsRowShown="0">
  <autoFilter ref="A1:J37"/>
  <tableColumns count="10">
    <tableColumn id="1" name="기업 ID"/>
    <tableColumn id="2" name="기업명(한글)"/>
    <tableColumn id="3" name="기업명(영문)"/>
    <tableColumn id="4" name="레이어"/>
    <tableColumn id="5" name="국가"/>
    <tableColumn id="6" name="티커"/>
    <tableColumn id="7" name="상장 여부"/>
    <tableColumn id="8" name="설명"/>
    <tableColumn id="9" name="생성일시"/>
    <tableColumn id="10" name="수정일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c.gov/Archives/edgar/data/1341439/000156459021047772/" TargetMode="External"/><Relationship Id="rId2" Type="http://schemas.openxmlformats.org/officeDocument/2006/relationships/hyperlink" Target="https://www.sec.gov/Archives/edgar/data/1341439/000156459021060022/" TargetMode="External"/><Relationship Id="rId3" Type="http://schemas.openxmlformats.org/officeDocument/2006/relationships/hyperlink" Target="https://www.sec.gov/Archives/edgar/data/1341439/000156459021012539/" TargetMode="External"/><Relationship Id="rId4" Type="http://schemas.openxmlformats.org/officeDocument/2006/relationships/hyperlink" Target="https://www.sec.gov/Archives/edgar/data/1341439/000156459022023675/" TargetMode="External"/><Relationship Id="rId5" Type="http://schemas.openxmlformats.org/officeDocument/2006/relationships/hyperlink" Target="https://www.sec.gov/Archives/edgar/data/1341439/000156459022031545/" TargetMode="External"/><Relationship Id="rId6" Type="http://schemas.openxmlformats.org/officeDocument/2006/relationships/hyperlink" Target="https://www.sec.gov/Archives/edgar/data/1341439/000156459022039278/" TargetMode="External"/><Relationship Id="rId7" Type="http://schemas.openxmlformats.org/officeDocument/2006/relationships/hyperlink" Target="https://www.sec.gov/Archives/edgar/data/1341439/000156459022009859/" TargetMode="External"/><Relationship Id="rId8" Type="http://schemas.openxmlformats.org/officeDocument/2006/relationships/hyperlink" Target="https://www.sec.gov/Archives/edgar/data/1341439/000095017023028914/" TargetMode="External"/><Relationship Id="rId9" Type="http://schemas.openxmlformats.org/officeDocument/2006/relationships/hyperlink" Target="https://www.sec.gov/Archives/edgar/data/1341439/000095017023047713/" TargetMode="External"/><Relationship Id="rId10" Type="http://schemas.openxmlformats.org/officeDocument/2006/relationships/hyperlink" Target="https://www.sec.gov/Archives/edgar/data/1341439/000095017023069682/" TargetMode="External"/><Relationship Id="rId11" Type="http://schemas.openxmlformats.org/officeDocument/2006/relationships/hyperlink" Target="https://www.sec.gov/Archives/edgar/data/1341439/000156459023003413/" TargetMode="External"/><Relationship Id="rId12" Type="http://schemas.openxmlformats.org/officeDocument/2006/relationships/hyperlink" Target="https://www.sec.gov/Archives/edgar/data/1341439/000095017024075605/" TargetMode="External"/><Relationship Id="rId13" Type="http://schemas.openxmlformats.org/officeDocument/2006/relationships/hyperlink" Target="https://www.sec.gov/Archives/edgar/data/1341439/000095017024104905/" TargetMode="External"/><Relationship Id="rId14" Type="http://schemas.openxmlformats.org/officeDocument/2006/relationships/hyperlink" Target="https://www.sec.gov/Archives/edgar/data/1341439/000095017024134973/" TargetMode="External"/><Relationship Id="rId15" Type="http://schemas.openxmlformats.org/officeDocument/2006/relationships/hyperlink" Target="https://www.sec.gov/Archives/edgar/data/1341439/000095017024029904/" TargetMode="External"/><Relationship Id="rId16" Type="http://schemas.openxmlformats.org/officeDocument/2006/relationships/hyperlink" Target="https://www.sec.gov/Archives/edgar/data/1341439/000095017025087926/" TargetMode="External"/><Relationship Id="rId17" Type="http://schemas.openxmlformats.org/officeDocument/2006/relationships/hyperlink" Target="https://www.sec.gov/Archives/edgar/data/1341439/000119312525200095/" TargetMode="External"/><Relationship Id="rId18" Type="http://schemas.openxmlformats.org/officeDocument/2006/relationships/hyperlink" Target="https://www.sec.gov/Archives/edgar/data/1341439/000119312525315925/" TargetMode="External"/><Relationship Id="rId19" Type="http://schemas.openxmlformats.org/officeDocument/2006/relationships/hyperlink" Target="https://www.sec.gov/Archives/edgar/data/1341439/000095017025037143/" TargetMode="External"/><Relationship Id="rId20" Type="http://schemas.openxmlformats.org/officeDocument/2006/relationships/hyperlink" Target="https://www.sec.gov/Archives/edgar/data/1341439/000119312526277521/" TargetMode="External"/><Relationship Id="rId21" Type="http://schemas.openxmlformats.org/officeDocument/2006/relationships/hyperlink" Target="https://www.sec.gov/Archives/edgar/data/1341439/000119312526389274/" TargetMode="External"/><Relationship Id="rId22" Type="http://schemas.openxmlformats.org/officeDocument/2006/relationships/hyperlink" Target="https://www.sec.gov/Archives/edgar/data/1341439/000119312525315925/" TargetMode="External"/><Relationship Id="rId23" Type="http://schemas.openxmlformats.org/officeDocument/2006/relationships/hyperlink" Target="https://www.sec.gov/Archives/edgar/data/1341439/000119312526101045/" TargetMode="External"/><Relationship Id="rId24" Type="http://schemas.openxmlformats.org/officeDocument/2006/relationships/hyperlink" Target="https://www.sec.gov/Archives/edgar/data/1341439/000119312526277521/" TargetMode="External"/><Relationship Id="rId25" Type="http://schemas.openxmlformats.org/officeDocument/2006/relationships/hyperlink" Target="https://www.sec.gov/Archives/edgar/data/1341439/000119312526389274/" TargetMode="External"/><Relationship Id="rId26" Type="http://schemas.openxmlformats.org/officeDocument/2006/relationships/hyperlink" Target="https://www.sec.gov/Archives/edgar/data/2488/000000248821000056/" TargetMode="External"/><Relationship Id="rId27" Type="http://schemas.openxmlformats.org/officeDocument/2006/relationships/hyperlink" Target="https://www.sec.gov/Archives/edgar/data/2488/000000248821000116/" TargetMode="External"/><Relationship Id="rId28" Type="http://schemas.openxmlformats.org/officeDocument/2006/relationships/hyperlink" Target="https://www.sec.gov/Archives/edgar/data/2488/000000248821000178/" TargetMode="External"/><Relationship Id="rId29" Type="http://schemas.openxmlformats.org/officeDocument/2006/relationships/hyperlink" Target="https://www.sec.gov/Archives/edgar/data/2488/000000248823000047/" TargetMode="External"/><Relationship Id="rId30" Type="http://schemas.openxmlformats.org/officeDocument/2006/relationships/hyperlink" Target="https://www.sec.gov/Archives/edgar/data/2488/000000248822000078/" TargetMode="External"/><Relationship Id="rId31" Type="http://schemas.openxmlformats.org/officeDocument/2006/relationships/hyperlink" Target="https://www.sec.gov/Archives/edgar/data/2488/000000248822000123/" TargetMode="External"/><Relationship Id="rId32" Type="http://schemas.openxmlformats.org/officeDocument/2006/relationships/hyperlink" Target="https://www.sec.gov/Archives/edgar/data/2488/000000248822000170/" TargetMode="External"/><Relationship Id="rId33" Type="http://schemas.openxmlformats.org/officeDocument/2006/relationships/hyperlink" Target="https://www.sec.gov/Archives/edgar/data/2488/000000248824000012/" TargetMode="External"/><Relationship Id="rId34" Type="http://schemas.openxmlformats.org/officeDocument/2006/relationships/hyperlink" Target="https://www.sec.gov/Archives/edgar/data/2488/000000248823000076/" TargetMode="External"/><Relationship Id="rId35" Type="http://schemas.openxmlformats.org/officeDocument/2006/relationships/hyperlink" Target="https://www.sec.gov/Archives/edgar/data/2488/000000248823000139/" TargetMode="External"/><Relationship Id="rId36" Type="http://schemas.openxmlformats.org/officeDocument/2006/relationships/hyperlink" Target="https://www.sec.gov/Archives/edgar/data/2488/000000248823000195/" TargetMode="External"/><Relationship Id="rId37" Type="http://schemas.openxmlformats.org/officeDocument/2006/relationships/hyperlink" Target="https://www.sec.gov/Archives/edgar/data/2488/000000248825000012/" TargetMode="External"/><Relationship Id="rId38" Type="http://schemas.openxmlformats.org/officeDocument/2006/relationships/hyperlink" Target="https://www.sec.gov/Archives/edgar/data/2488/000000248824000056/" TargetMode="External"/><Relationship Id="rId39" Type="http://schemas.openxmlformats.org/officeDocument/2006/relationships/hyperlink" Target="https://www.sec.gov/Archives/edgar/data/2488/000000248824000123/" TargetMode="External"/><Relationship Id="rId40" Type="http://schemas.openxmlformats.org/officeDocument/2006/relationships/hyperlink" Target="https://www.sec.gov/Archives/edgar/data/2488/000000248824000163/" TargetMode="External"/><Relationship Id="rId41" Type="http://schemas.openxmlformats.org/officeDocument/2006/relationships/hyperlink" Target="https://www.sec.gov/Archives/edgar/data/2488/000000248826000018/" TargetMode="External"/><Relationship Id="rId42" Type="http://schemas.openxmlformats.org/officeDocument/2006/relationships/hyperlink" Target="https://www.sec.gov/Archives/edgar/data/2488/000000248825000047/" TargetMode="External"/><Relationship Id="rId43" Type="http://schemas.openxmlformats.org/officeDocument/2006/relationships/hyperlink" Target="https://www.sec.gov/Archives/edgar/data/2488/000000248825000108/" TargetMode="External"/><Relationship Id="rId44" Type="http://schemas.openxmlformats.org/officeDocument/2006/relationships/hyperlink" Target="https://www.sec.gov/Archives/edgar/data/2488/000000248825000166/" TargetMode="External"/><Relationship Id="rId45" Type="http://schemas.openxmlformats.org/officeDocument/2006/relationships/hyperlink" Target="https://www.sec.gov/Archives/edgar/data/2488/000000248826000018/" TargetMode="External"/><Relationship Id="rId46" Type="http://schemas.openxmlformats.org/officeDocument/2006/relationships/hyperlink" Target="https://www.sec.gov/Archives/edgar/data/2488/000000248826000076/" TargetMode="External"/><Relationship Id="rId47" Type="http://schemas.openxmlformats.org/officeDocument/2006/relationships/hyperlink" Target="https://www.sec.gov/Archives/edgar/data/2488/000000248826000123/" TargetMode="External"/><Relationship Id="rId48" Type="http://schemas.openxmlformats.org/officeDocument/2006/relationships/hyperlink" Target="https://www.sec.gov/Archives/edgar/data/2488/000000248825000166/" TargetMode="External"/><Relationship Id="rId49" Type="http://schemas.openxmlformats.org/officeDocument/2006/relationships/hyperlink" Target="https://www.sec.gov/Archives/edgar/data/2488/000000248826000018/" TargetMode="External"/><Relationship Id="rId50" Type="http://schemas.openxmlformats.org/officeDocument/2006/relationships/hyperlink" Target="https://www.sec.gov/Archives/edgar/data/2488/000000248826000076/" TargetMode="External"/><Relationship Id="rId51" Type="http://schemas.openxmlformats.org/officeDocument/2006/relationships/hyperlink" Target="https://www.sec.gov/Archives/edgar/data/2488/000000248826000123/" TargetMode="External"/><Relationship Id="rId52" Type="http://schemas.openxmlformats.org/officeDocument/2006/relationships/hyperlink" Target="https://www.sec.gov/Archives/edgar/data/1973239/000197323923000011/" TargetMode="External"/><Relationship Id="rId53" Type="http://schemas.openxmlformats.org/officeDocument/2006/relationships/hyperlink" Target="https://www.sec.gov/Archives/edgar/data/1973239/000197323924000004/" TargetMode="External"/><Relationship Id="rId54" Type="http://schemas.openxmlformats.org/officeDocument/2006/relationships/hyperlink" Target="https://www.sec.gov/Archives/edgar/data/1973239/000197323924000019/" TargetMode="External"/><Relationship Id="rId55" Type="http://schemas.openxmlformats.org/officeDocument/2006/relationships/hyperlink" Target="https://www.sec.gov/Archives/edgar/data/1973239/000197323924000040/" TargetMode="External"/><Relationship Id="rId56" Type="http://schemas.openxmlformats.org/officeDocument/2006/relationships/hyperlink" Target="https://www.sec.gov/Archives/edgar/data/1973239/000197323925000007/" TargetMode="External"/><Relationship Id="rId57" Type="http://schemas.openxmlformats.org/officeDocument/2006/relationships/hyperlink" Target="https://www.sec.gov/Archives/edgar/data/1973239/000197323925000024/" TargetMode="External"/><Relationship Id="rId58" Type="http://schemas.openxmlformats.org/officeDocument/2006/relationships/hyperlink" Target="https://www.sec.gov/Archives/edgar/data/1973239/000197323925000043/" TargetMode="External"/><Relationship Id="rId59" Type="http://schemas.openxmlformats.org/officeDocument/2006/relationships/hyperlink" Target="https://www.sec.gov/Archives/edgar/data/1973239/000197323926000006/" TargetMode="External"/><Relationship Id="rId60" Type="http://schemas.openxmlformats.org/officeDocument/2006/relationships/hyperlink" Target="https://www.sec.gov/Archives/edgar/data/1973239/000197323926000097/" TargetMode="External"/><Relationship Id="rId61" Type="http://schemas.openxmlformats.org/officeDocument/2006/relationships/hyperlink" Target="https://www.sec.gov/Archives/edgar/data/1973239/000197323926000114/" TargetMode="External"/><Relationship Id="rId62" Type="http://schemas.openxmlformats.org/officeDocument/2006/relationships/hyperlink" Target="https://www.sec.gov/Archives/edgar/data/1973239/000197323925000043/" TargetMode="External"/><Relationship Id="rId63" Type="http://schemas.openxmlformats.org/officeDocument/2006/relationships/hyperlink" Target="https://www.sec.gov/Archives/edgar/data/1973239/000197323926000006/" TargetMode="External"/><Relationship Id="rId64" Type="http://schemas.openxmlformats.org/officeDocument/2006/relationships/hyperlink" Target="https://www.sec.gov/Archives/edgar/data/1973239/000197323926000097/" TargetMode="External"/><Relationship Id="rId65" Type="http://schemas.openxmlformats.org/officeDocument/2006/relationships/hyperlink" Target="https://www.sec.gov/Archives/edgar/data/1973239/000197323926000114/" TargetMode="External"/><Relationship Id="rId66" Type="http://schemas.openxmlformats.org/officeDocument/2006/relationships/hyperlink" Target="https://www.sec.gov/Archives/edgar/data/1730168/000173016821000045/" TargetMode="External"/><Relationship Id="rId67" Type="http://schemas.openxmlformats.org/officeDocument/2006/relationships/hyperlink" Target="https://www.sec.gov/Archives/edgar/data/1730168/000173016821000116/" TargetMode="External"/><Relationship Id="rId68" Type="http://schemas.openxmlformats.org/officeDocument/2006/relationships/hyperlink" Target="https://www.sec.gov/Archives/edgar/data/1730168/000173016821000123/" TargetMode="External"/><Relationship Id="rId69" Type="http://schemas.openxmlformats.org/officeDocument/2006/relationships/hyperlink" Target="https://www.sec.gov/Archives/edgar/data/1730168/000173016822000118/" TargetMode="External"/><Relationship Id="rId70" Type="http://schemas.openxmlformats.org/officeDocument/2006/relationships/hyperlink" Target="https://www.sec.gov/Archives/edgar/data/1730168/000173016822000029/" TargetMode="External"/><Relationship Id="rId71" Type="http://schemas.openxmlformats.org/officeDocument/2006/relationships/hyperlink" Target="https://www.sec.gov/Archives/edgar/data/1730168/000173016822000081/" TargetMode="External"/><Relationship Id="rId72" Type="http://schemas.openxmlformats.org/officeDocument/2006/relationships/hyperlink" Target="https://www.sec.gov/Archives/edgar/data/1730168/000173016822000094/" TargetMode="External"/><Relationship Id="rId73" Type="http://schemas.openxmlformats.org/officeDocument/2006/relationships/hyperlink" Target="https://www.sec.gov/Archives/edgar/data/1730168/000173016823000096/" TargetMode="External"/><Relationship Id="rId74" Type="http://schemas.openxmlformats.org/officeDocument/2006/relationships/hyperlink" Target="https://www.sec.gov/Archives/edgar/data/1730168/000173016823000008/" TargetMode="External"/><Relationship Id="rId75" Type="http://schemas.openxmlformats.org/officeDocument/2006/relationships/hyperlink" Target="https://www.sec.gov/Archives/edgar/data/1730168/000173016823000064/" TargetMode="External"/><Relationship Id="rId76" Type="http://schemas.openxmlformats.org/officeDocument/2006/relationships/hyperlink" Target="https://www.sec.gov/Archives/edgar/data/1730168/000173016823000077/" TargetMode="External"/><Relationship Id="rId77" Type="http://schemas.openxmlformats.org/officeDocument/2006/relationships/hyperlink" Target="https://www.sec.gov/Archives/edgar/data/1730168/000173016824000139/" TargetMode="External"/><Relationship Id="rId78" Type="http://schemas.openxmlformats.org/officeDocument/2006/relationships/hyperlink" Target="https://www.sec.gov/Archives/edgar/data/1730168/000173016824000023/" TargetMode="External"/><Relationship Id="rId79" Type="http://schemas.openxmlformats.org/officeDocument/2006/relationships/hyperlink" Target="https://www.sec.gov/Archives/edgar/data/1730168/000173016824000080/" TargetMode="External"/><Relationship Id="rId80" Type="http://schemas.openxmlformats.org/officeDocument/2006/relationships/hyperlink" Target="https://www.sec.gov/Archives/edgar/data/1730168/000173016824000099/" TargetMode="External"/><Relationship Id="rId81" Type="http://schemas.openxmlformats.org/officeDocument/2006/relationships/hyperlink" Target="https://www.sec.gov/Archives/edgar/data/1730168/000173016825000121/" TargetMode="External"/><Relationship Id="rId82" Type="http://schemas.openxmlformats.org/officeDocument/2006/relationships/hyperlink" Target="https://www.sec.gov/Archives/edgar/data/1730168/000173016825000021/" TargetMode="External"/><Relationship Id="rId83" Type="http://schemas.openxmlformats.org/officeDocument/2006/relationships/hyperlink" Target="https://www.sec.gov/Archives/edgar/data/1730168/000173016825000064/" TargetMode="External"/><Relationship Id="rId84" Type="http://schemas.openxmlformats.org/officeDocument/2006/relationships/hyperlink" Target="https://www.sec.gov/Archives/edgar/data/1730168/000173016825000098/" TargetMode="External"/><Relationship Id="rId85" Type="http://schemas.openxmlformats.org/officeDocument/2006/relationships/hyperlink" Target="https://www.sec.gov/Archives/edgar/data/1730168/000173016825000121/" TargetMode="External"/><Relationship Id="rId86" Type="http://schemas.openxmlformats.org/officeDocument/2006/relationships/hyperlink" Target="https://www.sec.gov/Archives/edgar/data/1730168/000173016826000016/" TargetMode="External"/><Relationship Id="rId87" Type="http://schemas.openxmlformats.org/officeDocument/2006/relationships/hyperlink" Target="https://www.sec.gov/Archives/edgar/data/1730168/000173016826000054/" TargetMode="External"/><Relationship Id="rId88" Type="http://schemas.openxmlformats.org/officeDocument/2006/relationships/hyperlink" Target="https://www.sec.gov/Archives/edgar/data/1730168/000173016826000080/" TargetMode="External"/><Relationship Id="rId89" Type="http://schemas.openxmlformats.org/officeDocument/2006/relationships/hyperlink" Target="https://www.sec.gov/Archives/edgar/data/1730168/000173016825000121/" TargetMode="External"/><Relationship Id="rId90" Type="http://schemas.openxmlformats.org/officeDocument/2006/relationships/hyperlink" Target="https://www.sec.gov/Archives/edgar/data/1730168/000173016826000016/" TargetMode="External"/><Relationship Id="rId91" Type="http://schemas.openxmlformats.org/officeDocument/2006/relationships/hyperlink" Target="https://www.sec.gov/Archives/edgar/data/1730168/000173016826000054/" TargetMode="External"/><Relationship Id="rId92" Type="http://schemas.openxmlformats.org/officeDocument/2006/relationships/hyperlink" Target="https://www.sec.gov/Archives/edgar/data/50863/000005086321000018/" TargetMode="External"/><Relationship Id="rId93" Type="http://schemas.openxmlformats.org/officeDocument/2006/relationships/hyperlink" Target="https://www.sec.gov/Archives/edgar/data/50863/000005086321000030/" TargetMode="External"/><Relationship Id="rId94" Type="http://schemas.openxmlformats.org/officeDocument/2006/relationships/hyperlink" Target="https://www.sec.gov/Archives/edgar/data/50863/000005086321000038/" TargetMode="External"/><Relationship Id="rId95" Type="http://schemas.openxmlformats.org/officeDocument/2006/relationships/hyperlink" Target="https://www.sec.gov/Archives/edgar/data/50863/000005086323000006/" TargetMode="External"/><Relationship Id="rId96" Type="http://schemas.openxmlformats.org/officeDocument/2006/relationships/hyperlink" Target="https://www.sec.gov/Archives/edgar/data/50863/000005086322000020/" TargetMode="External"/><Relationship Id="rId97" Type="http://schemas.openxmlformats.org/officeDocument/2006/relationships/hyperlink" Target="https://www.sec.gov/Archives/edgar/data/50863/000005086322000030/" TargetMode="External"/><Relationship Id="rId98" Type="http://schemas.openxmlformats.org/officeDocument/2006/relationships/hyperlink" Target="https://www.sec.gov/Archives/edgar/data/50863/000005086322000038/" TargetMode="External"/><Relationship Id="rId99" Type="http://schemas.openxmlformats.org/officeDocument/2006/relationships/hyperlink" Target="https://www.sec.gov/Archives/edgar/data/50863/000005086324000010/" TargetMode="External"/><Relationship Id="rId100" Type="http://schemas.openxmlformats.org/officeDocument/2006/relationships/hyperlink" Target="https://www.sec.gov/Archives/edgar/data/50863/000005086323000028/" TargetMode="External"/><Relationship Id="rId101" Type="http://schemas.openxmlformats.org/officeDocument/2006/relationships/hyperlink" Target="https://www.sec.gov/Archives/edgar/data/50863/000005086323000069/" TargetMode="External"/><Relationship Id="rId102" Type="http://schemas.openxmlformats.org/officeDocument/2006/relationships/hyperlink" Target="https://www.sec.gov/Archives/edgar/data/50863/000005086323000103/" TargetMode="External"/><Relationship Id="rId103" Type="http://schemas.openxmlformats.org/officeDocument/2006/relationships/hyperlink" Target="https://www.sec.gov/Archives/edgar/data/50863/000005086325000009/" TargetMode="External"/><Relationship Id="rId104" Type="http://schemas.openxmlformats.org/officeDocument/2006/relationships/hyperlink" Target="https://www.sec.gov/Archives/edgar/data/50863/000005086324000076/" TargetMode="External"/><Relationship Id="rId105" Type="http://schemas.openxmlformats.org/officeDocument/2006/relationships/hyperlink" Target="https://www.sec.gov/Archives/edgar/data/50863/000005086324000124/" TargetMode="External"/><Relationship Id="rId106" Type="http://schemas.openxmlformats.org/officeDocument/2006/relationships/hyperlink" Target="https://www.sec.gov/Archives/edgar/data/50863/000005086324000149/" TargetMode="External"/><Relationship Id="rId107" Type="http://schemas.openxmlformats.org/officeDocument/2006/relationships/hyperlink" Target="https://www.sec.gov/Archives/edgar/data/50863/000005086326000011/" TargetMode="External"/><Relationship Id="rId108" Type="http://schemas.openxmlformats.org/officeDocument/2006/relationships/hyperlink" Target="https://www.sec.gov/Archives/edgar/data/50863/000005086325000074/" TargetMode="External"/><Relationship Id="rId109" Type="http://schemas.openxmlformats.org/officeDocument/2006/relationships/hyperlink" Target="https://www.sec.gov/Archives/edgar/data/50863/000005086325000109/" TargetMode="External"/><Relationship Id="rId110" Type="http://schemas.openxmlformats.org/officeDocument/2006/relationships/hyperlink" Target="https://www.sec.gov/Archives/edgar/data/50863/000005086325000179/" TargetMode="External"/><Relationship Id="rId111" Type="http://schemas.openxmlformats.org/officeDocument/2006/relationships/hyperlink" Target="https://www.sec.gov/Archives/edgar/data/50863/000005086326000011/" TargetMode="External"/><Relationship Id="rId112" Type="http://schemas.openxmlformats.org/officeDocument/2006/relationships/hyperlink" Target="https://www.sec.gov/Archives/edgar/data/50863/000005086326000079/" TargetMode="External"/><Relationship Id="rId113" Type="http://schemas.openxmlformats.org/officeDocument/2006/relationships/hyperlink" Target="https://www.sec.gov/Archives/edgar/data/50863/000005086326000157/" TargetMode="External"/><Relationship Id="rId114" Type="http://schemas.openxmlformats.org/officeDocument/2006/relationships/hyperlink" Target="https://www.sec.gov/Archives/edgar/data/50863/000005086325000179/" TargetMode="External"/><Relationship Id="rId115" Type="http://schemas.openxmlformats.org/officeDocument/2006/relationships/hyperlink" Target="https://www.sec.gov/Archives/edgar/data/50863/000005086326000011/" TargetMode="External"/><Relationship Id="rId116" Type="http://schemas.openxmlformats.org/officeDocument/2006/relationships/hyperlink" Target="https://www.sec.gov/Archives/edgar/data/50863/000005086326000079/" TargetMode="External"/><Relationship Id="rId117" Type="http://schemas.openxmlformats.org/officeDocument/2006/relationships/hyperlink" Target="https://www.sec.gov/Archives/edgar/data/50863/000005086326000157/" TargetMode="External"/><Relationship Id="rId118" Type="http://schemas.openxmlformats.org/officeDocument/2006/relationships/hyperlink" Target="https://www.sec.gov/Archives/edgar/data/1047127/000104712721000016/" TargetMode="External"/><Relationship Id="rId119" Type="http://schemas.openxmlformats.org/officeDocument/2006/relationships/hyperlink" Target="https://www.sec.gov/Archives/edgar/data/1047127/000104712721000025/" TargetMode="External"/><Relationship Id="rId120" Type="http://schemas.openxmlformats.org/officeDocument/2006/relationships/hyperlink" Target="https://www.sec.gov/Archives/edgar/data/1047127/000104712721000043/" TargetMode="External"/><Relationship Id="rId121" Type="http://schemas.openxmlformats.org/officeDocument/2006/relationships/hyperlink" Target="https://www.sec.gov/Archives/edgar/data/1047127/000104712723000009/" TargetMode="External"/><Relationship Id="rId122" Type="http://schemas.openxmlformats.org/officeDocument/2006/relationships/hyperlink" Target="https://www.sec.gov/Archives/edgar/data/1047127/000104712722000015/" TargetMode="External"/><Relationship Id="rId123" Type="http://schemas.openxmlformats.org/officeDocument/2006/relationships/hyperlink" Target="https://www.sec.gov/Archives/edgar/data/1047127/000104712722000025/" TargetMode="External"/><Relationship Id="rId124" Type="http://schemas.openxmlformats.org/officeDocument/2006/relationships/hyperlink" Target="https://www.sec.gov/Archives/edgar/data/1047127/000104712722000031/" TargetMode="External"/><Relationship Id="rId125" Type="http://schemas.openxmlformats.org/officeDocument/2006/relationships/hyperlink" Target="https://www.sec.gov/Archives/edgar/data/1047127/000104712724000019/" TargetMode="External"/><Relationship Id="rId126" Type="http://schemas.openxmlformats.org/officeDocument/2006/relationships/hyperlink" Target="https://www.sec.gov/Archives/edgar/data/1047127/000104712723000015/" TargetMode="External"/><Relationship Id="rId127" Type="http://schemas.openxmlformats.org/officeDocument/2006/relationships/hyperlink" Target="https://www.sec.gov/Archives/edgar/data/1047127/000104712723000024/" TargetMode="External"/><Relationship Id="rId128" Type="http://schemas.openxmlformats.org/officeDocument/2006/relationships/hyperlink" Target="https://www.sec.gov/Archives/edgar/data/1047127/000104712723000030/" TargetMode="External"/><Relationship Id="rId129" Type="http://schemas.openxmlformats.org/officeDocument/2006/relationships/hyperlink" Target="https://www.sec.gov/Archives/edgar/data/1047127/000104712725000030/" TargetMode="External"/><Relationship Id="rId130" Type="http://schemas.openxmlformats.org/officeDocument/2006/relationships/hyperlink" Target="https://www.sec.gov/Archives/edgar/data/1047127/000104712724000094/" TargetMode="External"/><Relationship Id="rId131" Type="http://schemas.openxmlformats.org/officeDocument/2006/relationships/hyperlink" Target="https://www.sec.gov/Archives/edgar/data/1047127/000104712724000159/" TargetMode="External"/><Relationship Id="rId132" Type="http://schemas.openxmlformats.org/officeDocument/2006/relationships/hyperlink" Target="https://www.sec.gov/Archives/edgar/data/1047127/000104712724000203/" TargetMode="External"/><Relationship Id="rId133" Type="http://schemas.openxmlformats.org/officeDocument/2006/relationships/hyperlink" Target="https://www.sec.gov/Archives/edgar/data/1047127/000104712726000014/" TargetMode="External"/><Relationship Id="rId134" Type="http://schemas.openxmlformats.org/officeDocument/2006/relationships/hyperlink" Target="https://www.sec.gov/Archives/edgar/data/1047127/000104712725000087/" TargetMode="External"/><Relationship Id="rId135" Type="http://schemas.openxmlformats.org/officeDocument/2006/relationships/hyperlink" Target="https://www.sec.gov/Archives/edgar/data/1047127/000104712725000168/" TargetMode="External"/><Relationship Id="rId136" Type="http://schemas.openxmlformats.org/officeDocument/2006/relationships/hyperlink" Target="https://www.sec.gov/Archives/edgar/data/1047127/000104712725000190/" TargetMode="External"/><Relationship Id="rId137" Type="http://schemas.openxmlformats.org/officeDocument/2006/relationships/hyperlink" Target="https://www.sec.gov/Archives/edgar/data/1047127/000104712726000014/" TargetMode="External"/><Relationship Id="rId138" Type="http://schemas.openxmlformats.org/officeDocument/2006/relationships/hyperlink" Target="https://www.sec.gov/Archives/edgar/data/1047127/000104712726000020/" TargetMode="External"/><Relationship Id="rId139" Type="http://schemas.openxmlformats.org/officeDocument/2006/relationships/hyperlink" Target="https://www.sec.gov/Archives/edgar/data/1047127/000104712725000168/" TargetMode="External"/><Relationship Id="rId140" Type="http://schemas.openxmlformats.org/officeDocument/2006/relationships/hyperlink" Target="https://www.sec.gov/Archives/edgar/data/1047127/000104712725000190/" TargetMode="External"/><Relationship Id="rId141" Type="http://schemas.openxmlformats.org/officeDocument/2006/relationships/hyperlink" Target="https://www.sec.gov/Archives/edgar/data/1047127/000104712726000014/" TargetMode="External"/><Relationship Id="rId142" Type="http://schemas.openxmlformats.org/officeDocument/2006/relationships/hyperlink" Target="https://www.sec.gov/Archives/edgar/data/1047127/000104712726000020/" TargetMode="External"/><Relationship Id="rId143" Type="http://schemas.openxmlformats.org/officeDocument/2006/relationships/hyperlink" Target="https://www.sec.gov/Archives/edgar/data/6951/000000695121000023/" TargetMode="External"/><Relationship Id="rId144" Type="http://schemas.openxmlformats.org/officeDocument/2006/relationships/hyperlink" Target="https://www.sec.gov/Archives/edgar/data/6951/000000695121000034/" TargetMode="External"/><Relationship Id="rId145" Type="http://schemas.openxmlformats.org/officeDocument/2006/relationships/hyperlink" Target="https://www.sec.gov/Archives/edgar/data/6951/000000695122000011/" TargetMode="External"/><Relationship Id="rId146" Type="http://schemas.openxmlformats.org/officeDocument/2006/relationships/hyperlink" Target="https://www.sec.gov/Archives/edgar/data/6951/000000695122000022/" TargetMode="External"/><Relationship Id="rId147" Type="http://schemas.openxmlformats.org/officeDocument/2006/relationships/hyperlink" Target="https://www.sec.gov/Archives/edgar/data/6951/000000695122000032/" TargetMode="External"/><Relationship Id="rId148" Type="http://schemas.openxmlformats.org/officeDocument/2006/relationships/hyperlink" Target="https://www.sec.gov/Archives/edgar/data/6951/000000695123000041/" TargetMode="External"/><Relationship Id="rId149" Type="http://schemas.openxmlformats.org/officeDocument/2006/relationships/hyperlink" Target="https://www.sec.gov/Archives/edgar/data/6951/000000695123000012/" TargetMode="External"/><Relationship Id="rId150" Type="http://schemas.openxmlformats.org/officeDocument/2006/relationships/hyperlink" Target="https://www.sec.gov/Archives/edgar/data/6951/000000695123000022/" TargetMode="External"/><Relationship Id="rId151" Type="http://schemas.openxmlformats.org/officeDocument/2006/relationships/hyperlink" Target="https://www.sec.gov/Archives/edgar/data/6951/000000695123000031/" TargetMode="External"/><Relationship Id="rId152" Type="http://schemas.openxmlformats.org/officeDocument/2006/relationships/hyperlink" Target="https://www.sec.gov/Archives/edgar/data/6951/000000695124000044/" TargetMode="External"/><Relationship Id="rId153" Type="http://schemas.openxmlformats.org/officeDocument/2006/relationships/hyperlink" Target="https://www.sec.gov/Archives/edgar/data/6951/000000695124000012/" TargetMode="External"/><Relationship Id="rId154" Type="http://schemas.openxmlformats.org/officeDocument/2006/relationships/hyperlink" Target="https://www.sec.gov/Archives/edgar/data/6951/000000695124000022/" TargetMode="External"/><Relationship Id="rId155" Type="http://schemas.openxmlformats.org/officeDocument/2006/relationships/hyperlink" Target="https://www.sec.gov/Archives/edgar/data/6951/000000695124000032/" TargetMode="External"/><Relationship Id="rId156" Type="http://schemas.openxmlformats.org/officeDocument/2006/relationships/hyperlink" Target="https://www.sec.gov/Archives/edgar/data/6951/000162828025056742/" TargetMode="External"/><Relationship Id="rId157" Type="http://schemas.openxmlformats.org/officeDocument/2006/relationships/hyperlink" Target="https://www.sec.gov/Archives/edgar/data/6951/000000695125000011/" TargetMode="External"/><Relationship Id="rId158" Type="http://schemas.openxmlformats.org/officeDocument/2006/relationships/hyperlink" Target="https://www.sec.gov/Archives/edgar/data/6951/000000695125000024/" TargetMode="External"/><Relationship Id="rId159" Type="http://schemas.openxmlformats.org/officeDocument/2006/relationships/hyperlink" Target="https://www.sec.gov/Archives/edgar/data/6951/000000695125000037/" TargetMode="External"/><Relationship Id="rId160" Type="http://schemas.openxmlformats.org/officeDocument/2006/relationships/hyperlink" Target="https://www.sec.gov/Archives/edgar/data/6951/000162828025056742/" TargetMode="External"/><Relationship Id="rId161" Type="http://schemas.openxmlformats.org/officeDocument/2006/relationships/hyperlink" Target="https://www.sec.gov/Archives/edgar/data/6951/000162828026009694/" TargetMode="External"/><Relationship Id="rId162" Type="http://schemas.openxmlformats.org/officeDocument/2006/relationships/hyperlink" Target="https://www.sec.gov/Archives/edgar/data/6951/000162828026037227/" TargetMode="External"/><Relationship Id="rId163" Type="http://schemas.openxmlformats.org/officeDocument/2006/relationships/hyperlink" Target="https://www.sec.gov/Archives/edgar/data/6951/000162828026058235/" TargetMode="External"/><Relationship Id="rId164" Type="http://schemas.openxmlformats.org/officeDocument/2006/relationships/hyperlink" Target="https://www.sec.gov/Archives/edgar/data/6951/000162828025056742/" TargetMode="External"/><Relationship Id="rId165" Type="http://schemas.openxmlformats.org/officeDocument/2006/relationships/hyperlink" Target="https://www.sec.gov/Archives/edgar/data/6951/000162828026009694/" TargetMode="External"/><Relationship Id="rId166" Type="http://schemas.openxmlformats.org/officeDocument/2006/relationships/hyperlink" Target="https://www.sec.gov/Archives/edgar/data/6951/000162828026037227/" TargetMode="External"/><Relationship Id="rId167" Type="http://schemas.openxmlformats.org/officeDocument/2006/relationships/hyperlink" Target="https://www.sec.gov/Archives/edgar/data/1122411/000095010326011351/dp250868_6k.htm" TargetMode="External"/><Relationship Id="rId168" Type="http://schemas.openxmlformats.org/officeDocument/2006/relationships/hyperlink" Target="https://www.sec.gov/Archives/edgar/data/1122411/000095010326011351/dp250868_6k.htm" TargetMode="External"/><Relationship Id="rId169" Type="http://schemas.openxmlformats.org/officeDocument/2006/relationships/hyperlink" Target="https://www.sec.gov/Archives/edgar/data/1122411/000095010326011351/dp250868_6k.htm" TargetMode="External"/><Relationship Id="rId170" Type="http://schemas.openxmlformats.org/officeDocument/2006/relationships/hyperlink" Target="https://www.sec.gov/Archives/edgar/data/319201/000031920121000037/" TargetMode="External"/><Relationship Id="rId171" Type="http://schemas.openxmlformats.org/officeDocument/2006/relationships/hyperlink" Target="https://www.sec.gov/Archives/edgar/data/319201/000031920122000006/" TargetMode="External"/><Relationship Id="rId172" Type="http://schemas.openxmlformats.org/officeDocument/2006/relationships/hyperlink" Target="https://www.sec.gov/Archives/edgar/data/319201/000031920121000017/" TargetMode="External"/><Relationship Id="rId173" Type="http://schemas.openxmlformats.org/officeDocument/2006/relationships/hyperlink" Target="https://www.sec.gov/Archives/edgar/data/319201/000031920122000023/" TargetMode="External"/><Relationship Id="rId174" Type="http://schemas.openxmlformats.org/officeDocument/2006/relationships/hyperlink" Target="https://www.sec.gov/Archives/edgar/data/319201/000162828022027311/" TargetMode="External"/><Relationship Id="rId175" Type="http://schemas.openxmlformats.org/officeDocument/2006/relationships/hyperlink" Target="https://www.sec.gov/Archives/edgar/data/319201/000031920123000010/" TargetMode="External"/><Relationship Id="rId176" Type="http://schemas.openxmlformats.org/officeDocument/2006/relationships/hyperlink" Target="https://www.sec.gov/Archives/edgar/data/319201/000031920122000012/" TargetMode="External"/><Relationship Id="rId177" Type="http://schemas.openxmlformats.org/officeDocument/2006/relationships/hyperlink" Target="https://www.sec.gov/Archives/edgar/data/319201/000031920123000031/" TargetMode="External"/><Relationship Id="rId178" Type="http://schemas.openxmlformats.org/officeDocument/2006/relationships/hyperlink" Target="https://www.sec.gov/Archives/edgar/data/319201/000031920123000039/" TargetMode="External"/><Relationship Id="rId179" Type="http://schemas.openxmlformats.org/officeDocument/2006/relationships/hyperlink" Target="https://www.sec.gov/Archives/edgar/data/319201/000031920124000006/" TargetMode="External"/><Relationship Id="rId180" Type="http://schemas.openxmlformats.org/officeDocument/2006/relationships/hyperlink" Target="https://www.sec.gov/Archives/edgar/data/319201/000031920123000020/" TargetMode="External"/><Relationship Id="rId181" Type="http://schemas.openxmlformats.org/officeDocument/2006/relationships/hyperlink" Target="https://www.sec.gov/Archives/edgar/data/319201/000031920124000021/" TargetMode="External"/><Relationship Id="rId182" Type="http://schemas.openxmlformats.org/officeDocument/2006/relationships/hyperlink" Target="https://www.sec.gov/Archives/edgar/data/319201/000031920124000027/" TargetMode="External"/><Relationship Id="rId183" Type="http://schemas.openxmlformats.org/officeDocument/2006/relationships/hyperlink" Target="https://www.sec.gov/Archives/edgar/data/319201/000031920125000006/" TargetMode="External"/><Relationship Id="rId184" Type="http://schemas.openxmlformats.org/officeDocument/2006/relationships/hyperlink" Target="https://www.sec.gov/Archives/edgar/data/319201/000031920124000012/" TargetMode="External"/><Relationship Id="rId185" Type="http://schemas.openxmlformats.org/officeDocument/2006/relationships/hyperlink" Target="https://www.sec.gov/Archives/edgar/data/319201/000031920125000024/" TargetMode="External"/><Relationship Id="rId186" Type="http://schemas.openxmlformats.org/officeDocument/2006/relationships/hyperlink" Target="https://www.sec.gov/Archives/edgar/data/319201/000031920125000034/" TargetMode="External"/><Relationship Id="rId187" Type="http://schemas.openxmlformats.org/officeDocument/2006/relationships/hyperlink" Target="https://www.sec.gov/Archives/edgar/data/319201/000031920126000008/" TargetMode="External"/><Relationship Id="rId188" Type="http://schemas.openxmlformats.org/officeDocument/2006/relationships/hyperlink" Target="https://www.sec.gov/Archives/edgar/data/319201/000031920125000012/" TargetMode="External"/><Relationship Id="rId189" Type="http://schemas.openxmlformats.org/officeDocument/2006/relationships/hyperlink" Target="https://www.sec.gov/Archives/edgar/data/319201/000031920126000027/" TargetMode="External"/><Relationship Id="rId190" Type="http://schemas.openxmlformats.org/officeDocument/2006/relationships/hyperlink" Target="https://www.sec.gov/Archives/edgar/data/319201/000031920125000034/" TargetMode="External"/><Relationship Id="rId191" Type="http://schemas.openxmlformats.org/officeDocument/2006/relationships/hyperlink" Target="https://www.sec.gov/Archives/edgar/data/319201/000031920126000008/" TargetMode="External"/><Relationship Id="rId192" Type="http://schemas.openxmlformats.org/officeDocument/2006/relationships/hyperlink" Target="https://www.sec.gov/Archives/edgar/data/319201/000031920126000016/" TargetMode="External"/><Relationship Id="rId193" Type="http://schemas.openxmlformats.org/officeDocument/2006/relationships/hyperlink" Target="https://www.sec.gov/Archives/edgar/data/319201/000031920126000027/" TargetMode="External"/><Relationship Id="rId194" Type="http://schemas.openxmlformats.org/officeDocument/2006/relationships/hyperlink" Target="https://www.sec.gov/Archives/edgar/data/707549/000070754921000155/" TargetMode="External"/><Relationship Id="rId195" Type="http://schemas.openxmlformats.org/officeDocument/2006/relationships/hyperlink" Target="https://www.sec.gov/Archives/edgar/data/707549/000070754922000012/" TargetMode="External"/><Relationship Id="rId196" Type="http://schemas.openxmlformats.org/officeDocument/2006/relationships/hyperlink" Target="https://www.sec.gov/Archives/edgar/data/707549/000070754921000089/" TargetMode="External"/><Relationship Id="rId197" Type="http://schemas.openxmlformats.org/officeDocument/2006/relationships/hyperlink" Target="https://www.sec.gov/Archives/edgar/data/707549/000070754922000107/" TargetMode="External"/><Relationship Id="rId198" Type="http://schemas.openxmlformats.org/officeDocument/2006/relationships/hyperlink" Target="https://www.sec.gov/Archives/edgar/data/707549/000070754922000124/" TargetMode="External"/><Relationship Id="rId199" Type="http://schemas.openxmlformats.org/officeDocument/2006/relationships/hyperlink" Target="https://www.sec.gov/Archives/edgar/data/707549/000070754923000008/" TargetMode="External"/><Relationship Id="rId200" Type="http://schemas.openxmlformats.org/officeDocument/2006/relationships/hyperlink" Target="https://www.sec.gov/Archives/edgar/data/707549/000070754922000067/" TargetMode="External"/><Relationship Id="rId201" Type="http://schemas.openxmlformats.org/officeDocument/2006/relationships/hyperlink" Target="https://www.sec.gov/Archives/edgar/data/707549/000070754923000102/" TargetMode="External"/><Relationship Id="rId202" Type="http://schemas.openxmlformats.org/officeDocument/2006/relationships/hyperlink" Target="https://www.sec.gov/Archives/edgar/data/707549/000070754923000115/" TargetMode="External"/><Relationship Id="rId203" Type="http://schemas.openxmlformats.org/officeDocument/2006/relationships/hyperlink" Target="https://www.sec.gov/Archives/edgar/data/707549/000070754924000016/" TargetMode="External"/><Relationship Id="rId204" Type="http://schemas.openxmlformats.org/officeDocument/2006/relationships/hyperlink" Target="https://www.sec.gov/Archives/edgar/data/707549/000070754923000081/" TargetMode="External"/><Relationship Id="rId205" Type="http://schemas.openxmlformats.org/officeDocument/2006/relationships/hyperlink" Target="https://www.sec.gov/Archives/edgar/data/707549/000070754924000106/" TargetMode="External"/><Relationship Id="rId206" Type="http://schemas.openxmlformats.org/officeDocument/2006/relationships/hyperlink" Target="https://www.sec.gov/Archives/edgar/data/707549/000070754924000128/" TargetMode="External"/><Relationship Id="rId207" Type="http://schemas.openxmlformats.org/officeDocument/2006/relationships/hyperlink" Target="https://www.sec.gov/Archives/edgar/data/707549/000070754925000014/" TargetMode="External"/><Relationship Id="rId208" Type="http://schemas.openxmlformats.org/officeDocument/2006/relationships/hyperlink" Target="https://www.sec.gov/Archives/edgar/data/707549/000070754924000067/" TargetMode="External"/><Relationship Id="rId209" Type="http://schemas.openxmlformats.org/officeDocument/2006/relationships/hyperlink" Target="https://www.sec.gov/Archives/edgar/data/707549/000070754925000075/" TargetMode="External"/><Relationship Id="rId210" Type="http://schemas.openxmlformats.org/officeDocument/2006/relationships/hyperlink" Target="https://www.sec.gov/Archives/edgar/data/707549/000070754925000085/" TargetMode="External"/><Relationship Id="rId211" Type="http://schemas.openxmlformats.org/officeDocument/2006/relationships/hyperlink" Target="https://www.sec.gov/Archives/edgar/data/707549/000070754926000009/" TargetMode="External"/><Relationship Id="rId212" Type="http://schemas.openxmlformats.org/officeDocument/2006/relationships/hyperlink" Target="https://www.sec.gov/Archives/edgar/data/707549/000070754925000054/" TargetMode="External"/><Relationship Id="rId213" Type="http://schemas.openxmlformats.org/officeDocument/2006/relationships/hyperlink" Target="https://www.sec.gov/Archives/edgar/data/707549/000070754926000037/" TargetMode="External"/><Relationship Id="rId214" Type="http://schemas.openxmlformats.org/officeDocument/2006/relationships/hyperlink" Target="https://www.sec.gov/Archives/edgar/data/707549/000070754925000085/" TargetMode="External"/><Relationship Id="rId215" Type="http://schemas.openxmlformats.org/officeDocument/2006/relationships/hyperlink" Target="https://www.sec.gov/Archives/edgar/data/707549/000070754926000009/" TargetMode="External"/><Relationship Id="rId216" Type="http://schemas.openxmlformats.org/officeDocument/2006/relationships/hyperlink" Target="https://www.sec.gov/Archives/edgar/data/707549/000070754926000022/" TargetMode="External"/><Relationship Id="rId217" Type="http://schemas.openxmlformats.org/officeDocument/2006/relationships/hyperlink" Target="https://www.sec.gov/Archives/edgar/data/707549/000070754926000037/" TargetMode="External"/><Relationship Id="rId218" Type="http://schemas.openxmlformats.org/officeDocument/2006/relationships/hyperlink" Target="https://ssl4.eir-parts.net/doc/285A/tdnet/2859905/00.pdf" TargetMode="External"/><Relationship Id="rId219" Type="http://schemas.openxmlformats.org/officeDocument/2006/relationships/hyperlink" Target="https://ssl4.eir-parts.net/doc/285A/tdnet/2815552/00.pdf" TargetMode="External"/><Relationship Id="rId220" Type="http://schemas.openxmlformats.org/officeDocument/2006/relationships/hyperlink" Target="https://ssl4.eir-parts.net/doc/285A/tdnet/2859905/00.pdf" TargetMode="External"/><Relationship Id="rId221" Type="http://schemas.openxmlformats.org/officeDocument/2006/relationships/hyperlink" Target="https://ssl4.eir-parts.net/doc/285A/tdnet/2859905/00.pdf" TargetMode="External"/><Relationship Id="rId222" Type="http://schemas.openxmlformats.org/officeDocument/2006/relationships/hyperlink" Target="https://www.sec.gov/Archives/edgar/data/723125/000072312522000004/" TargetMode="External"/><Relationship Id="rId223" Type="http://schemas.openxmlformats.org/officeDocument/2006/relationships/hyperlink" Target="https://www.sec.gov/Archives/edgar/data/723125/000072312521000032/" TargetMode="External"/><Relationship Id="rId224" Type="http://schemas.openxmlformats.org/officeDocument/2006/relationships/hyperlink" Target="https://www.sec.gov/Archives/edgar/data/723125/000072312521000052/" TargetMode="External"/><Relationship Id="rId225" Type="http://schemas.openxmlformats.org/officeDocument/2006/relationships/hyperlink" Target="https://www.sec.gov/Archives/edgar/data/723125/000072312522000048/" TargetMode="External"/><Relationship Id="rId226" Type="http://schemas.openxmlformats.org/officeDocument/2006/relationships/hyperlink" Target="https://www.sec.gov/Archives/edgar/data/723125/000072312522000072/" TargetMode="External"/><Relationship Id="rId227" Type="http://schemas.openxmlformats.org/officeDocument/2006/relationships/hyperlink" Target="https://www.sec.gov/Archives/edgar/data/723125/000072312522000016/" TargetMode="External"/><Relationship Id="rId228" Type="http://schemas.openxmlformats.org/officeDocument/2006/relationships/hyperlink" Target="https://www.sec.gov/Archives/edgar/data/723125/000072312522000036/" TargetMode="External"/><Relationship Id="rId229" Type="http://schemas.openxmlformats.org/officeDocument/2006/relationships/hyperlink" Target="https://www.sec.gov/Archives/edgar/data/723125/000072312523000054/" TargetMode="External"/><Relationship Id="rId230" Type="http://schemas.openxmlformats.org/officeDocument/2006/relationships/hyperlink" Target="https://www.sec.gov/Archives/edgar/data/723125/000072312523000077/" TargetMode="External"/><Relationship Id="rId231" Type="http://schemas.openxmlformats.org/officeDocument/2006/relationships/hyperlink" Target="https://www.sec.gov/Archives/edgar/data/723125/000072312523000022/" TargetMode="External"/><Relationship Id="rId232" Type="http://schemas.openxmlformats.org/officeDocument/2006/relationships/hyperlink" Target="https://www.sec.gov/Archives/edgar/data/723125/000072312523000041/" TargetMode="External"/><Relationship Id="rId233" Type="http://schemas.openxmlformats.org/officeDocument/2006/relationships/hyperlink" Target="https://www.sec.gov/Archives/edgar/data/723125/000072312524000027/" TargetMode="External"/><Relationship Id="rId234" Type="http://schemas.openxmlformats.org/officeDocument/2006/relationships/hyperlink" Target="https://www.sec.gov/Archives/edgar/data/723125/000072312524000047/" TargetMode="External"/><Relationship Id="rId235" Type="http://schemas.openxmlformats.org/officeDocument/2006/relationships/hyperlink" Target="https://www.sec.gov/Archives/edgar/data/723125/000072312524000007/" TargetMode="External"/><Relationship Id="rId236" Type="http://schemas.openxmlformats.org/officeDocument/2006/relationships/hyperlink" Target="https://www.sec.gov/Archives/edgar/data/723125/000072312524000019/" TargetMode="External"/><Relationship Id="rId237" Type="http://schemas.openxmlformats.org/officeDocument/2006/relationships/hyperlink" Target="https://www.sec.gov/Archives/edgar/data/723125/000072312525000028/" TargetMode="External"/><Relationship Id="rId238" Type="http://schemas.openxmlformats.org/officeDocument/2006/relationships/hyperlink" Target="https://www.sec.gov/Archives/edgar/data/723125/000072312525000046/" TargetMode="External"/><Relationship Id="rId239" Type="http://schemas.openxmlformats.org/officeDocument/2006/relationships/hyperlink" Target="https://www.sec.gov/Archives/edgar/data/723125/000072312525000009/" TargetMode="External"/><Relationship Id="rId240" Type="http://schemas.openxmlformats.org/officeDocument/2006/relationships/hyperlink" Target="https://www.sec.gov/Archives/edgar/data/723125/000072312525000021/" TargetMode="External"/><Relationship Id="rId241" Type="http://schemas.openxmlformats.org/officeDocument/2006/relationships/hyperlink" Target="https://www.sec.gov/Archives/edgar/data/723125/000072312525000028/" TargetMode="External"/><Relationship Id="rId242" Type="http://schemas.openxmlformats.org/officeDocument/2006/relationships/hyperlink" Target="https://www.sec.gov/Archives/edgar/data/723125/000072312525000046/" TargetMode="External"/><Relationship Id="rId243" Type="http://schemas.openxmlformats.org/officeDocument/2006/relationships/hyperlink" Target="https://www.sec.gov/Archives/edgar/data/723125/000072312526000006/" TargetMode="External"/><Relationship Id="rId244" Type="http://schemas.openxmlformats.org/officeDocument/2006/relationships/hyperlink" Target="https://www.sec.gov/Archives/edgar/data/723125/000072312526000015/" TargetMode="External"/><Relationship Id="rId245" Type="http://schemas.openxmlformats.org/officeDocument/2006/relationships/hyperlink" Target="https://www.sec.gov/Archives/edgar/data/723125/000072312525000028/" TargetMode="External"/><Relationship Id="rId246" Type="http://schemas.openxmlformats.org/officeDocument/2006/relationships/hyperlink" Target="https://www.sec.gov/Archives/edgar/data/723125/000072312526000006/" TargetMode="External"/><Relationship Id="rId247" Type="http://schemas.openxmlformats.org/officeDocument/2006/relationships/hyperlink" Target="https://www.sec.gov/Archives/edgar/data/106040/000010604021000053/" TargetMode="External"/><Relationship Id="rId248" Type="http://schemas.openxmlformats.org/officeDocument/2006/relationships/hyperlink" Target="https://www.sec.gov/Archives/edgar/data/106040/000010604021000011/" TargetMode="External"/><Relationship Id="rId249" Type="http://schemas.openxmlformats.org/officeDocument/2006/relationships/hyperlink" Target="https://www.sec.gov/Archives/edgar/data/106040/000010604021000024/" TargetMode="External"/><Relationship Id="rId250" Type="http://schemas.openxmlformats.org/officeDocument/2006/relationships/hyperlink" Target="https://www.sec.gov/Archives/edgar/data/106040/000010604022000055/" TargetMode="External"/><Relationship Id="rId251" Type="http://schemas.openxmlformats.org/officeDocument/2006/relationships/hyperlink" Target="https://www.sec.gov/Archives/edgar/data/106040/000010604022000065/" TargetMode="External"/><Relationship Id="rId252" Type="http://schemas.openxmlformats.org/officeDocument/2006/relationships/hyperlink" Target="https://www.sec.gov/Archives/edgar/data/106040/000010604023000010/" TargetMode="External"/><Relationship Id="rId253" Type="http://schemas.openxmlformats.org/officeDocument/2006/relationships/hyperlink" Target="https://www.sec.gov/Archives/edgar/data/106040/000010604022000040/" TargetMode="External"/><Relationship Id="rId254" Type="http://schemas.openxmlformats.org/officeDocument/2006/relationships/hyperlink" Target="https://www.sec.gov/Archives/edgar/data/106040/000010604023000024/" TargetMode="External"/><Relationship Id="rId255" Type="http://schemas.openxmlformats.org/officeDocument/2006/relationships/hyperlink" Target="https://www.sec.gov/Archives/edgar/data/106040/000010604023000034/" TargetMode="External"/><Relationship Id="rId256" Type="http://schemas.openxmlformats.org/officeDocument/2006/relationships/hyperlink" Target="https://www.sec.gov/Archives/edgar/data/106040/000010604024000014/" TargetMode="External"/><Relationship Id="rId257" Type="http://schemas.openxmlformats.org/officeDocument/2006/relationships/hyperlink" Target="https://www.sec.gov/Archives/edgar/data/106040/000010604023000017/" TargetMode="External"/><Relationship Id="rId258" Type="http://schemas.openxmlformats.org/officeDocument/2006/relationships/hyperlink" Target="https://www.sec.gov/Archives/edgar/data/106040/000010604024000031/" TargetMode="External"/><Relationship Id="rId259" Type="http://schemas.openxmlformats.org/officeDocument/2006/relationships/hyperlink" Target="https://www.sec.gov/Archives/edgar/data/106040/000010604024000040/" TargetMode="External"/><Relationship Id="rId260" Type="http://schemas.openxmlformats.org/officeDocument/2006/relationships/hyperlink" Target="https://www.sec.gov/Archives/edgar/data/106040/000010604025000008/" TargetMode="External"/><Relationship Id="rId261" Type="http://schemas.openxmlformats.org/officeDocument/2006/relationships/hyperlink" Target="https://www.sec.gov/Archives/edgar/data/106040/000010604024000022/" TargetMode="External"/><Relationship Id="rId262" Type="http://schemas.openxmlformats.org/officeDocument/2006/relationships/hyperlink" Target="https://www.sec.gov/Archives/edgar/data/106040/000162828025047613/" TargetMode="External"/><Relationship Id="rId263" Type="http://schemas.openxmlformats.org/officeDocument/2006/relationships/hyperlink" Target="https://www.sec.gov/Archives/edgar/data/106040/000162828026004207/" TargetMode="External"/><Relationship Id="rId264" Type="http://schemas.openxmlformats.org/officeDocument/2006/relationships/hyperlink" Target="https://www.sec.gov/Archives/edgar/data/106040/000010604025000026/" TargetMode="External"/><Relationship Id="rId265" Type="http://schemas.openxmlformats.org/officeDocument/2006/relationships/hyperlink" Target="https://www.sec.gov/Archives/edgar/data/106040/000162828025047613/" TargetMode="External"/><Relationship Id="rId266" Type="http://schemas.openxmlformats.org/officeDocument/2006/relationships/hyperlink" Target="https://www.sec.gov/Archives/edgar/data/106040/000162828026029054/" TargetMode="External"/><Relationship Id="rId267" Type="http://schemas.openxmlformats.org/officeDocument/2006/relationships/hyperlink" Target="https://www.sec.gov/Archives/edgar/data/106040/000162828026057139/" TargetMode="External"/><Relationship Id="rId268" Type="http://schemas.openxmlformats.org/officeDocument/2006/relationships/hyperlink" Target="https://www.sec.gov/Archives/edgar/data/106040/000162828026004207/" TargetMode="External"/><Relationship Id="rId269" Type="http://schemas.openxmlformats.org/officeDocument/2006/relationships/hyperlink" Target="https://www.sec.gov/Archives/edgar/data/1596532/000159653221000149/" TargetMode="External"/><Relationship Id="rId270" Type="http://schemas.openxmlformats.org/officeDocument/2006/relationships/hyperlink" Target="https://www.sec.gov/Archives/edgar/data/1596532/000159653221000255/" TargetMode="External"/><Relationship Id="rId271" Type="http://schemas.openxmlformats.org/officeDocument/2006/relationships/hyperlink" Target="https://www.sec.gov/Archives/edgar/data/1596532/000159653221000354/" TargetMode="External"/><Relationship Id="rId272" Type="http://schemas.openxmlformats.org/officeDocument/2006/relationships/hyperlink" Target="https://www.sec.gov/Archives/edgar/data/1596532/000159653223000016/" TargetMode="External"/><Relationship Id="rId273" Type="http://schemas.openxmlformats.org/officeDocument/2006/relationships/hyperlink" Target="https://www.sec.gov/Archives/edgar/data/1596532/000159653222000112/" TargetMode="External"/><Relationship Id="rId274" Type="http://schemas.openxmlformats.org/officeDocument/2006/relationships/hyperlink" Target="https://www.sec.gov/Archives/edgar/data/1596532/000159653222000220/" TargetMode="External"/><Relationship Id="rId275" Type="http://schemas.openxmlformats.org/officeDocument/2006/relationships/hyperlink" Target="https://www.sec.gov/Archives/edgar/data/1596532/000159653222000294/" TargetMode="External"/><Relationship Id="rId276" Type="http://schemas.openxmlformats.org/officeDocument/2006/relationships/hyperlink" Target="https://www.sec.gov/Archives/edgar/data/1596532/000159653224000043/" TargetMode="External"/><Relationship Id="rId277" Type="http://schemas.openxmlformats.org/officeDocument/2006/relationships/hyperlink" Target="https://www.sec.gov/Archives/edgar/data/1596532/000159653223000104/" TargetMode="External"/><Relationship Id="rId278" Type="http://schemas.openxmlformats.org/officeDocument/2006/relationships/hyperlink" Target="https://www.sec.gov/Archives/edgar/data/1596532/000159653223000197/" TargetMode="External"/><Relationship Id="rId279" Type="http://schemas.openxmlformats.org/officeDocument/2006/relationships/hyperlink" Target="https://www.sec.gov/Archives/edgar/data/1596532/000159653223000274/" TargetMode="External"/><Relationship Id="rId280" Type="http://schemas.openxmlformats.org/officeDocument/2006/relationships/hyperlink" Target="https://www.sec.gov/Archives/edgar/data/1596532/000159653225000028/" TargetMode="External"/><Relationship Id="rId281" Type="http://schemas.openxmlformats.org/officeDocument/2006/relationships/hyperlink" Target="https://www.sec.gov/Archives/edgar/data/1596532/000159653224000173/" TargetMode="External"/><Relationship Id="rId282" Type="http://schemas.openxmlformats.org/officeDocument/2006/relationships/hyperlink" Target="https://www.sec.gov/Archives/edgar/data/1596532/000159653224000279/" TargetMode="External"/><Relationship Id="rId283" Type="http://schemas.openxmlformats.org/officeDocument/2006/relationships/hyperlink" Target="https://www.sec.gov/Archives/edgar/data/1596532/000159653224000368/" TargetMode="External"/><Relationship Id="rId284" Type="http://schemas.openxmlformats.org/officeDocument/2006/relationships/hyperlink" Target="https://www.sec.gov/Archives/edgar/data/1596532/000159653226000013/" TargetMode="External"/><Relationship Id="rId285" Type="http://schemas.openxmlformats.org/officeDocument/2006/relationships/hyperlink" Target="https://www.sec.gov/Archives/edgar/data/1596532/000159653225000106/" TargetMode="External"/><Relationship Id="rId286" Type="http://schemas.openxmlformats.org/officeDocument/2006/relationships/hyperlink" Target="https://www.sec.gov/Archives/edgar/data/1596532/000159653225000216/" TargetMode="External"/><Relationship Id="rId287" Type="http://schemas.openxmlformats.org/officeDocument/2006/relationships/hyperlink" Target="https://www.sec.gov/Archives/edgar/data/1596532/000159653225000286/" TargetMode="External"/><Relationship Id="rId288" Type="http://schemas.openxmlformats.org/officeDocument/2006/relationships/hyperlink" Target="https://www.sec.gov/Archives/edgar/data/1596532/000159653226000013/" TargetMode="External"/><Relationship Id="rId289" Type="http://schemas.openxmlformats.org/officeDocument/2006/relationships/hyperlink" Target="https://www.sec.gov/Archives/edgar/data/1596532/000159653226000078/" TargetMode="External"/><Relationship Id="rId290" Type="http://schemas.openxmlformats.org/officeDocument/2006/relationships/hyperlink" Target="https://www.sec.gov/Archives/edgar/data/1596532/000159653226000175/" TargetMode="External"/><Relationship Id="rId291" Type="http://schemas.openxmlformats.org/officeDocument/2006/relationships/hyperlink" Target="https://www.sec.gov/Archives/edgar/data/1596532/000159653225000286/" TargetMode="External"/><Relationship Id="rId292" Type="http://schemas.openxmlformats.org/officeDocument/2006/relationships/hyperlink" Target="https://www.sec.gov/Archives/edgar/data/1596532/000159653226000013/" TargetMode="External"/><Relationship Id="rId293" Type="http://schemas.openxmlformats.org/officeDocument/2006/relationships/hyperlink" Target="https://www.sec.gov/Archives/edgar/data/1596532/000159653226000078/" TargetMode="External"/><Relationship Id="rId294" Type="http://schemas.openxmlformats.org/officeDocument/2006/relationships/hyperlink" Target="https://www.sec.gov/Archives/edgar/data/1596532/000159653226000175/" TargetMode="External"/><Relationship Id="rId295" Type="http://schemas.openxmlformats.org/officeDocument/2006/relationships/hyperlink" Target="https://www.sec.gov/Archives/edgar/data/820318/000082031821000022/" TargetMode="External"/><Relationship Id="rId296" Type="http://schemas.openxmlformats.org/officeDocument/2006/relationships/hyperlink" Target="https://www.sec.gov/Archives/edgar/data/820318/000082031822000004/" TargetMode="External"/><Relationship Id="rId297" Type="http://schemas.openxmlformats.org/officeDocument/2006/relationships/hyperlink" Target="https://www.sec.gov/Archives/edgar/data/820318/000082031821000012/" TargetMode="External"/><Relationship Id="rId298" Type="http://schemas.openxmlformats.org/officeDocument/2006/relationships/hyperlink" Target="https://www.sec.gov/Archives/edgar/data/820318/000082031822000019/" TargetMode="External"/><Relationship Id="rId299" Type="http://schemas.openxmlformats.org/officeDocument/2006/relationships/hyperlink" Target="https://www.sec.gov/Archives/edgar/data/820318/000082031822000027/" TargetMode="External"/><Relationship Id="rId300" Type="http://schemas.openxmlformats.org/officeDocument/2006/relationships/hyperlink" Target="https://www.sec.gov/Archives/edgar/data/820318/000082031823000005/" TargetMode="External"/><Relationship Id="rId301" Type="http://schemas.openxmlformats.org/officeDocument/2006/relationships/hyperlink" Target="https://www.sec.gov/Archives/edgar/data/820318/000082031822000010/" TargetMode="External"/><Relationship Id="rId302" Type="http://schemas.openxmlformats.org/officeDocument/2006/relationships/hyperlink" Target="https://www.sec.gov/Archives/edgar/data/820318/000082031823000016/" TargetMode="External"/><Relationship Id="rId303" Type="http://schemas.openxmlformats.org/officeDocument/2006/relationships/hyperlink" Target="https://www.sec.gov/Archives/edgar/data/820318/000082031823000029/" TargetMode="External"/><Relationship Id="rId304" Type="http://schemas.openxmlformats.org/officeDocument/2006/relationships/hyperlink" Target="https://www.sec.gov/Archives/edgar/data/820318/000082031824000004/" TargetMode="External"/><Relationship Id="rId305" Type="http://schemas.openxmlformats.org/officeDocument/2006/relationships/hyperlink" Target="https://www.sec.gov/Archives/edgar/data/820318/000082031823000009/" TargetMode="External"/><Relationship Id="rId306" Type="http://schemas.openxmlformats.org/officeDocument/2006/relationships/hyperlink" Target="https://www.sec.gov/Archives/edgar/data/820318/000082031824000016/" TargetMode="External"/><Relationship Id="rId307" Type="http://schemas.openxmlformats.org/officeDocument/2006/relationships/hyperlink" Target="https://www.sec.gov/Archives/edgar/data/820318/000082031824000035/" TargetMode="External"/><Relationship Id="rId308" Type="http://schemas.openxmlformats.org/officeDocument/2006/relationships/hyperlink" Target="https://www.sec.gov/Archives/edgar/data/820318/000082031825000004/" TargetMode="External"/><Relationship Id="rId309" Type="http://schemas.openxmlformats.org/officeDocument/2006/relationships/hyperlink" Target="https://www.sec.gov/Archives/edgar/data/820318/000082031824000009/" TargetMode="External"/><Relationship Id="rId310" Type="http://schemas.openxmlformats.org/officeDocument/2006/relationships/hyperlink" Target="https://www.sec.gov/Archives/edgar/data/820318/000082031825000014/" TargetMode="External"/><Relationship Id="rId311" Type="http://schemas.openxmlformats.org/officeDocument/2006/relationships/hyperlink" Target="https://www.sec.gov/Archives/edgar/data/820318/000082031825000019/" TargetMode="External"/><Relationship Id="rId312" Type="http://schemas.openxmlformats.org/officeDocument/2006/relationships/hyperlink" Target="https://www.sec.gov/Archives/edgar/data/820318/000082031826000006/" TargetMode="External"/><Relationship Id="rId313" Type="http://schemas.openxmlformats.org/officeDocument/2006/relationships/hyperlink" Target="https://www.sec.gov/Archives/edgar/data/820318/000082031825000009/" TargetMode="External"/><Relationship Id="rId314" Type="http://schemas.openxmlformats.org/officeDocument/2006/relationships/hyperlink" Target="https://www.sec.gov/Archives/edgar/data/820318/000082031826000020/" TargetMode="External"/><Relationship Id="rId315" Type="http://schemas.openxmlformats.org/officeDocument/2006/relationships/hyperlink" Target="https://www.sec.gov/Archives/edgar/data/820318/000082031825000019/" TargetMode="External"/><Relationship Id="rId316" Type="http://schemas.openxmlformats.org/officeDocument/2006/relationships/hyperlink" Target="https://www.sec.gov/Archives/edgar/data/820318/000082031826000006/" TargetMode="External"/><Relationship Id="rId317" Type="http://schemas.openxmlformats.org/officeDocument/2006/relationships/hyperlink" Target="https://www.sec.gov/Archives/edgar/data/820318/000082031826000013/" TargetMode="External"/><Relationship Id="rId318" Type="http://schemas.openxmlformats.org/officeDocument/2006/relationships/hyperlink" Target="https://www.sec.gov/Archives/edgar/data/820318/000082031826000020/" TargetMode="External"/><Relationship Id="rId319" Type="http://schemas.openxmlformats.org/officeDocument/2006/relationships/hyperlink" Target="https://www.sec.gov/Archives/edgar/data/1835632/000183563221000010/" TargetMode="External"/><Relationship Id="rId320" Type="http://schemas.openxmlformats.org/officeDocument/2006/relationships/hyperlink" Target="https://www.sec.gov/Archives/edgar/data/1835632/000183563221000022/" TargetMode="External"/><Relationship Id="rId321" Type="http://schemas.openxmlformats.org/officeDocument/2006/relationships/hyperlink" Target="https://www.sec.gov/Archives/edgar/data/1835632/000183563221000032/" TargetMode="External"/><Relationship Id="rId322" Type="http://schemas.openxmlformats.org/officeDocument/2006/relationships/hyperlink" Target="https://www.sec.gov/Archives/edgar/data/1835632/000183563222000028/" TargetMode="External"/><Relationship Id="rId323" Type="http://schemas.openxmlformats.org/officeDocument/2006/relationships/hyperlink" Target="https://www.sec.gov/Archives/edgar/data/1835632/000183563222000041/" TargetMode="External"/><Relationship Id="rId324" Type="http://schemas.openxmlformats.org/officeDocument/2006/relationships/hyperlink" Target="https://www.sec.gov/Archives/edgar/data/1835632/000183563222000053/" TargetMode="External"/><Relationship Id="rId325" Type="http://schemas.openxmlformats.org/officeDocument/2006/relationships/hyperlink" Target="https://www.sec.gov/Archives/edgar/data/1835632/000183563223000013/" TargetMode="External"/><Relationship Id="rId326" Type="http://schemas.openxmlformats.org/officeDocument/2006/relationships/hyperlink" Target="https://www.sec.gov/Archives/edgar/data/1835632/000183563223000029/" TargetMode="External"/><Relationship Id="rId327" Type="http://schemas.openxmlformats.org/officeDocument/2006/relationships/hyperlink" Target="https://www.sec.gov/Archives/edgar/data/1835632/000183563223000038/" TargetMode="External"/><Relationship Id="rId328" Type="http://schemas.openxmlformats.org/officeDocument/2006/relationships/hyperlink" Target="https://www.sec.gov/Archives/edgar/data/1835632/000183563223000046/" TargetMode="External"/><Relationship Id="rId329" Type="http://schemas.openxmlformats.org/officeDocument/2006/relationships/hyperlink" Target="https://www.sec.gov/Archives/edgar/data/1835632/000183563224000009/" TargetMode="External"/><Relationship Id="rId330" Type="http://schemas.openxmlformats.org/officeDocument/2006/relationships/hyperlink" Target="https://www.sec.gov/Archives/edgar/data/1835632/000183563224000063/" TargetMode="External"/><Relationship Id="rId331" Type="http://schemas.openxmlformats.org/officeDocument/2006/relationships/hyperlink" Target="https://www.sec.gov/Archives/edgar/data/1835632/000183563224000142/" TargetMode="External"/><Relationship Id="rId332" Type="http://schemas.openxmlformats.org/officeDocument/2006/relationships/hyperlink" Target="https://www.sec.gov/Archives/edgar/data/1835632/000183563224000200/" TargetMode="External"/><Relationship Id="rId333" Type="http://schemas.openxmlformats.org/officeDocument/2006/relationships/hyperlink" Target="https://www.sec.gov/Archives/edgar/data/1835632/000183563225000057/" TargetMode="External"/><Relationship Id="rId334" Type="http://schemas.openxmlformats.org/officeDocument/2006/relationships/hyperlink" Target="https://www.sec.gov/Archives/edgar/data/1835632/000183563225000117/" TargetMode="External"/><Relationship Id="rId335" Type="http://schemas.openxmlformats.org/officeDocument/2006/relationships/hyperlink" Target="https://www.sec.gov/Archives/edgar/data/1835632/000183563225000189/" TargetMode="External"/><Relationship Id="rId336" Type="http://schemas.openxmlformats.org/officeDocument/2006/relationships/hyperlink" Target="https://www.sec.gov/Archives/edgar/data/1835632/000183563225000197/" TargetMode="External"/><Relationship Id="rId337" Type="http://schemas.openxmlformats.org/officeDocument/2006/relationships/hyperlink" Target="https://www.sec.gov/Archives/edgar/data/1835632/000183563226000011/" TargetMode="External"/><Relationship Id="rId338" Type="http://schemas.openxmlformats.org/officeDocument/2006/relationships/hyperlink" Target="https://www.sec.gov/Archives/edgar/data/1835632/000183563226000019/" TargetMode="External"/><Relationship Id="rId339" Type="http://schemas.openxmlformats.org/officeDocument/2006/relationships/hyperlink" Target="https://www.sec.gov/Archives/edgar/data/1835632/000183563226000025/" TargetMode="External"/><Relationship Id="rId340" Type="http://schemas.openxmlformats.org/officeDocument/2006/relationships/hyperlink" Target="https://www.sec.gov/Archives/edgar/data/1835632/000183563225000197/" TargetMode="External"/><Relationship Id="rId341" Type="http://schemas.openxmlformats.org/officeDocument/2006/relationships/hyperlink" Target="https://www.sec.gov/Archives/edgar/data/1835632/000183563226000011/" TargetMode="External"/><Relationship Id="rId342" Type="http://schemas.openxmlformats.org/officeDocument/2006/relationships/hyperlink" Target="https://www.sec.gov/Archives/edgar/data/1835632/000183563226000019/" TargetMode="External"/><Relationship Id="rId343" Type="http://schemas.openxmlformats.org/officeDocument/2006/relationships/hyperlink" Target="https://www.sec.gov/Archives/edgar/data/1835632/000183563226000025/" TargetMode="External"/><Relationship Id="rId344" Type="http://schemas.openxmlformats.org/officeDocument/2006/relationships/hyperlink" Target="https://www.sec.gov/Archives/edgar/data/320193/000032019322000007/" TargetMode="External"/><Relationship Id="rId345" Type="http://schemas.openxmlformats.org/officeDocument/2006/relationships/hyperlink" Target="https://www.sec.gov/Archives/edgar/data/320193/000032019321000056/" TargetMode="External"/><Relationship Id="rId346" Type="http://schemas.openxmlformats.org/officeDocument/2006/relationships/hyperlink" Target="https://www.sec.gov/Archives/edgar/data/320193/000032019321000065/" TargetMode="External"/><Relationship Id="rId347" Type="http://schemas.openxmlformats.org/officeDocument/2006/relationships/hyperlink" Target="https://www.sec.gov/Archives/edgar/data/320193/000032019322000108/" TargetMode="External"/><Relationship Id="rId348" Type="http://schemas.openxmlformats.org/officeDocument/2006/relationships/hyperlink" Target="https://www.sec.gov/Archives/edgar/data/320193/000032019323000006/" TargetMode="External"/><Relationship Id="rId349" Type="http://schemas.openxmlformats.org/officeDocument/2006/relationships/hyperlink" Target="https://www.sec.gov/Archives/edgar/data/320193/000032019322000059/" TargetMode="External"/><Relationship Id="rId350" Type="http://schemas.openxmlformats.org/officeDocument/2006/relationships/hyperlink" Target="https://www.sec.gov/Archives/edgar/data/320193/000032019322000070/" TargetMode="External"/><Relationship Id="rId351" Type="http://schemas.openxmlformats.org/officeDocument/2006/relationships/hyperlink" Target="https://www.sec.gov/Archives/edgar/data/320193/000032019323000106/" TargetMode="External"/><Relationship Id="rId352" Type="http://schemas.openxmlformats.org/officeDocument/2006/relationships/hyperlink" Target="https://www.sec.gov/Archives/edgar/data/320193/000032019324000006/" TargetMode="External"/><Relationship Id="rId353" Type="http://schemas.openxmlformats.org/officeDocument/2006/relationships/hyperlink" Target="https://www.sec.gov/Archives/edgar/data/320193/000032019323000064/" TargetMode="External"/><Relationship Id="rId354" Type="http://schemas.openxmlformats.org/officeDocument/2006/relationships/hyperlink" Target="https://www.sec.gov/Archives/edgar/data/320193/000032019323000077/" TargetMode="External"/><Relationship Id="rId355" Type="http://schemas.openxmlformats.org/officeDocument/2006/relationships/hyperlink" Target="https://www.sec.gov/Archives/edgar/data/320193/000032019324000123/" TargetMode="External"/><Relationship Id="rId356" Type="http://schemas.openxmlformats.org/officeDocument/2006/relationships/hyperlink" Target="https://www.sec.gov/Archives/edgar/data/320193/000032019325000008/" TargetMode="External"/><Relationship Id="rId357" Type="http://schemas.openxmlformats.org/officeDocument/2006/relationships/hyperlink" Target="https://www.sec.gov/Archives/edgar/data/320193/000032019324000069/" TargetMode="External"/><Relationship Id="rId358" Type="http://schemas.openxmlformats.org/officeDocument/2006/relationships/hyperlink" Target="https://www.sec.gov/Archives/edgar/data/320193/000032019324000081/" TargetMode="External"/><Relationship Id="rId359" Type="http://schemas.openxmlformats.org/officeDocument/2006/relationships/hyperlink" Target="https://www.sec.gov/Archives/edgar/data/320193/000032019325000079/" TargetMode="External"/><Relationship Id="rId360" Type="http://schemas.openxmlformats.org/officeDocument/2006/relationships/hyperlink" Target="https://www.sec.gov/Archives/edgar/data/320193/000032019326000006/" TargetMode="External"/><Relationship Id="rId361" Type="http://schemas.openxmlformats.org/officeDocument/2006/relationships/hyperlink" Target="https://www.sec.gov/Archives/edgar/data/320193/000032019325000057/" TargetMode="External"/><Relationship Id="rId362" Type="http://schemas.openxmlformats.org/officeDocument/2006/relationships/hyperlink" Target="https://www.sec.gov/Archives/edgar/data/320193/000032019325000073/" TargetMode="External"/><Relationship Id="rId363" Type="http://schemas.openxmlformats.org/officeDocument/2006/relationships/hyperlink" Target="https://www.sec.gov/Archives/edgar/data/320193/000032019325000079/" TargetMode="External"/><Relationship Id="rId364" Type="http://schemas.openxmlformats.org/officeDocument/2006/relationships/hyperlink" Target="https://www.sec.gov/Archives/edgar/data/320193/000032019326000006/" TargetMode="External"/><Relationship Id="rId365" Type="http://schemas.openxmlformats.org/officeDocument/2006/relationships/hyperlink" Target="https://www.sec.gov/Archives/edgar/data/320193/000032019326000013/" TargetMode="External"/><Relationship Id="rId366" Type="http://schemas.openxmlformats.org/officeDocument/2006/relationships/hyperlink" Target="https://www.sec.gov/Archives/edgar/data/320193/000032019326000020/" TargetMode="External"/><Relationship Id="rId367" Type="http://schemas.openxmlformats.org/officeDocument/2006/relationships/hyperlink" Target="https://www.sec.gov/Archives/edgar/data/320193/000032019325000079/" TargetMode="External"/><Relationship Id="rId368" Type="http://schemas.openxmlformats.org/officeDocument/2006/relationships/hyperlink" Target="https://www.sec.gov/Archives/edgar/data/320193/000032019326000013/" TargetMode="External"/><Relationship Id="rId369" Type="http://schemas.openxmlformats.org/officeDocument/2006/relationships/hyperlink" Target="https://www.sec.gov/Archives/edgar/data/1551182/000155118221000120/" TargetMode="External"/><Relationship Id="rId370" Type="http://schemas.openxmlformats.org/officeDocument/2006/relationships/hyperlink" Target="https://www.sec.gov/Archives/edgar/data/1551182/000155118221000161/" TargetMode="External"/><Relationship Id="rId371" Type="http://schemas.openxmlformats.org/officeDocument/2006/relationships/hyperlink" Target="https://www.sec.gov/Archives/edgar/data/1551182/000155118221000184/" TargetMode="External"/><Relationship Id="rId372" Type="http://schemas.openxmlformats.org/officeDocument/2006/relationships/hyperlink" Target="https://www.sec.gov/Archives/edgar/data/1551182/000155118223000004/" TargetMode="External"/><Relationship Id="rId373" Type="http://schemas.openxmlformats.org/officeDocument/2006/relationships/hyperlink" Target="https://www.sec.gov/Archives/edgar/data/1551182/000155118222000008/" TargetMode="External"/><Relationship Id="rId374" Type="http://schemas.openxmlformats.org/officeDocument/2006/relationships/hyperlink" Target="https://www.sec.gov/Archives/edgar/data/1551182/000155118222000020/" TargetMode="External"/><Relationship Id="rId375" Type="http://schemas.openxmlformats.org/officeDocument/2006/relationships/hyperlink" Target="https://www.sec.gov/Archives/edgar/data/1551182/000155118222000024/" TargetMode="External"/><Relationship Id="rId376" Type="http://schemas.openxmlformats.org/officeDocument/2006/relationships/hyperlink" Target="https://www.sec.gov/Archives/edgar/data/1551182/000155118224000006/" TargetMode="External"/><Relationship Id="rId377" Type="http://schemas.openxmlformats.org/officeDocument/2006/relationships/hyperlink" Target="https://www.sec.gov/Archives/edgar/data/1551182/000155118223000008/" TargetMode="External"/><Relationship Id="rId378" Type="http://schemas.openxmlformats.org/officeDocument/2006/relationships/hyperlink" Target="https://www.sec.gov/Archives/edgar/data/1551182/000155118223000024/" TargetMode="External"/><Relationship Id="rId379" Type="http://schemas.openxmlformats.org/officeDocument/2006/relationships/hyperlink" Target="https://www.sec.gov/Archives/edgar/data/1551182/000155118223000029/" TargetMode="External"/><Relationship Id="rId380" Type="http://schemas.openxmlformats.org/officeDocument/2006/relationships/hyperlink" Target="https://www.sec.gov/Archives/edgar/data/1551182/000155118225000006/" TargetMode="External"/><Relationship Id="rId381" Type="http://schemas.openxmlformats.org/officeDocument/2006/relationships/hyperlink" Target="https://www.sec.gov/Archives/edgar/data/1551182/000155118224000013/" TargetMode="External"/><Relationship Id="rId382" Type="http://schemas.openxmlformats.org/officeDocument/2006/relationships/hyperlink" Target="https://www.sec.gov/Archives/edgar/data/1551182/000155118224000035/" TargetMode="External"/><Relationship Id="rId383" Type="http://schemas.openxmlformats.org/officeDocument/2006/relationships/hyperlink" Target="https://www.sec.gov/Archives/edgar/data/1551182/000155118224000041/" TargetMode="External"/><Relationship Id="rId384" Type="http://schemas.openxmlformats.org/officeDocument/2006/relationships/hyperlink" Target="https://www.sec.gov/Archives/edgar/data/1551182/000155118226000007/" TargetMode="External"/><Relationship Id="rId385" Type="http://schemas.openxmlformats.org/officeDocument/2006/relationships/hyperlink" Target="https://www.sec.gov/Archives/edgar/data/1551182/000155118225000014/" TargetMode="External"/><Relationship Id="rId386" Type="http://schemas.openxmlformats.org/officeDocument/2006/relationships/hyperlink" Target="https://www.sec.gov/Archives/edgar/data/1551182/000155118225000028/" TargetMode="External"/><Relationship Id="rId387" Type="http://schemas.openxmlformats.org/officeDocument/2006/relationships/hyperlink" Target="https://www.sec.gov/Archives/edgar/data/1551182/000155118225000036/" TargetMode="External"/><Relationship Id="rId388" Type="http://schemas.openxmlformats.org/officeDocument/2006/relationships/hyperlink" Target="https://www.sec.gov/Archives/edgar/data/1551182/000155118226000007/" TargetMode="External"/><Relationship Id="rId389" Type="http://schemas.openxmlformats.org/officeDocument/2006/relationships/hyperlink" Target="https://www.sec.gov/Archives/edgar/data/1551182/000155118226000013/" TargetMode="External"/><Relationship Id="rId390" Type="http://schemas.openxmlformats.org/officeDocument/2006/relationships/hyperlink" Target="https://www.sec.gov/Archives/edgar/data/1551182/000155118226000030/" TargetMode="External"/><Relationship Id="rId391" Type="http://schemas.openxmlformats.org/officeDocument/2006/relationships/hyperlink" Target="https://www.sec.gov/Archives/edgar/data/1551182/000155118225000036/" TargetMode="External"/><Relationship Id="rId392" Type="http://schemas.openxmlformats.org/officeDocument/2006/relationships/hyperlink" Target="https://www.sec.gov/Archives/edgar/data/1551182/000155118226000007/" TargetMode="External"/><Relationship Id="rId393" Type="http://schemas.openxmlformats.org/officeDocument/2006/relationships/hyperlink" Target="https://www.sec.gov/Archives/edgar/data/1551182/000155118226000013/" TargetMode="External"/><Relationship Id="rId394" Type="http://schemas.openxmlformats.org/officeDocument/2006/relationships/hyperlink" Target="https://www.sec.gov/Archives/edgar/data/1551182/000155118226000030/" TargetMode="External"/><Relationship Id="rId395" Type="http://schemas.openxmlformats.org/officeDocument/2006/relationships/hyperlink" Target="https://www.sec.gov/Archives/edgar/data/1996810/000199681024000008/" TargetMode="External"/><Relationship Id="rId396" Type="http://schemas.openxmlformats.org/officeDocument/2006/relationships/hyperlink" Target="https://www.sec.gov/Archives/edgar/data/1996810/000199681024000067/" TargetMode="External"/><Relationship Id="rId397" Type="http://schemas.openxmlformats.org/officeDocument/2006/relationships/hyperlink" Target="https://www.sec.gov/Archives/edgar/data/1996810/000199681024000083/" TargetMode="External"/><Relationship Id="rId398" Type="http://schemas.openxmlformats.org/officeDocument/2006/relationships/hyperlink" Target="https://www.sec.gov/Archives/edgar/data/1996810/000199681026000015/" TargetMode="External"/><Relationship Id="rId399" Type="http://schemas.openxmlformats.org/officeDocument/2006/relationships/hyperlink" Target="https://www.sec.gov/Archives/edgar/data/1996810/000199681025000073/" TargetMode="External"/><Relationship Id="rId400" Type="http://schemas.openxmlformats.org/officeDocument/2006/relationships/hyperlink" Target="https://www.sec.gov/Archives/edgar/data/1996810/000199681025000133/" TargetMode="External"/><Relationship Id="rId401" Type="http://schemas.openxmlformats.org/officeDocument/2006/relationships/hyperlink" Target="https://www.sec.gov/Archives/edgar/data/1996810/000199681025000160/" TargetMode="External"/><Relationship Id="rId402" Type="http://schemas.openxmlformats.org/officeDocument/2006/relationships/hyperlink" Target="https://www.sec.gov/Archives/edgar/data/1996810/000199681026000015/" TargetMode="External"/><Relationship Id="rId403" Type="http://schemas.openxmlformats.org/officeDocument/2006/relationships/hyperlink" Target="https://www.sec.gov/Archives/edgar/data/1996810/000199681026000064/" TargetMode="External"/><Relationship Id="rId404" Type="http://schemas.openxmlformats.org/officeDocument/2006/relationships/hyperlink" Target="https://www.sec.gov/Archives/edgar/data/1996810/000199681026000148/" TargetMode="External"/><Relationship Id="rId405" Type="http://schemas.openxmlformats.org/officeDocument/2006/relationships/hyperlink" Target="https://www.sec.gov/Archives/edgar/data/1996810/000199681025000160/" TargetMode="External"/><Relationship Id="rId406" Type="http://schemas.openxmlformats.org/officeDocument/2006/relationships/hyperlink" Target="https://www.sec.gov/Archives/edgar/data/1996810/000199681026000015/" TargetMode="External"/><Relationship Id="rId407" Type="http://schemas.openxmlformats.org/officeDocument/2006/relationships/hyperlink" Target="https://www.sec.gov/Archives/edgar/data/1996810/000199681026000064/" TargetMode="External"/><Relationship Id="rId408" Type="http://schemas.openxmlformats.org/officeDocument/2006/relationships/hyperlink" Target="https://www.sec.gov/Archives/edgar/data/1996810/000199681026000148/" TargetMode="External"/><Relationship Id="rId409" Type="http://schemas.openxmlformats.org/officeDocument/2006/relationships/hyperlink" Target="https://www.sec.gov/Archives/edgar/data/1674101/000162828021008627/" TargetMode="External"/><Relationship Id="rId410" Type="http://schemas.openxmlformats.org/officeDocument/2006/relationships/hyperlink" Target="https://www.sec.gov/Archives/edgar/data/1674101/000162828021015172/" TargetMode="External"/><Relationship Id="rId411" Type="http://schemas.openxmlformats.org/officeDocument/2006/relationships/hyperlink" Target="https://www.sec.gov/Archives/edgar/data/1674101/000162828021020992/" TargetMode="External"/><Relationship Id="rId412" Type="http://schemas.openxmlformats.org/officeDocument/2006/relationships/hyperlink" Target="https://www.sec.gov/Archives/edgar/data/1674101/000162828023005248/" TargetMode="External"/><Relationship Id="rId413" Type="http://schemas.openxmlformats.org/officeDocument/2006/relationships/hyperlink" Target="https://www.sec.gov/Archives/edgar/data/1674101/000162828022011733/" TargetMode="External"/><Relationship Id="rId414" Type="http://schemas.openxmlformats.org/officeDocument/2006/relationships/hyperlink" Target="https://www.sec.gov/Archives/edgar/data/1674101/000162828022020322/" TargetMode="External"/><Relationship Id="rId415" Type="http://schemas.openxmlformats.org/officeDocument/2006/relationships/hyperlink" Target="https://www.sec.gov/Archives/edgar/data/1674101/000162828022027344/" TargetMode="External"/><Relationship Id="rId416" Type="http://schemas.openxmlformats.org/officeDocument/2006/relationships/hyperlink" Target="https://www.sec.gov/Archives/edgar/data/1674101/000162828024006498/" TargetMode="External"/><Relationship Id="rId417" Type="http://schemas.openxmlformats.org/officeDocument/2006/relationships/hyperlink" Target="https://www.sec.gov/Archives/edgar/data/1674101/000162828023013730/" TargetMode="External"/><Relationship Id="rId418" Type="http://schemas.openxmlformats.org/officeDocument/2006/relationships/hyperlink" Target="https://www.sec.gov/Archives/edgar/data/1674101/000162828023026777/" TargetMode="External"/><Relationship Id="rId419" Type="http://schemas.openxmlformats.org/officeDocument/2006/relationships/hyperlink" Target="https://www.sec.gov/Archives/edgar/data/1674101/000162828023035351/" TargetMode="External"/><Relationship Id="rId420" Type="http://schemas.openxmlformats.org/officeDocument/2006/relationships/hyperlink" Target="https://www.sec.gov/Archives/edgar/data/1674101/000162828025005905/" TargetMode="External"/><Relationship Id="rId421" Type="http://schemas.openxmlformats.org/officeDocument/2006/relationships/hyperlink" Target="https://www.sec.gov/Archives/edgar/data/1674101/000162828024018417/" TargetMode="External"/><Relationship Id="rId422" Type="http://schemas.openxmlformats.org/officeDocument/2006/relationships/hyperlink" Target="https://www.sec.gov/Archives/edgar/data/1674101/000162828024033173/" TargetMode="External"/><Relationship Id="rId423" Type="http://schemas.openxmlformats.org/officeDocument/2006/relationships/hyperlink" Target="https://www.sec.gov/Archives/edgar/data/1674101/000162828024043698/" TargetMode="External"/><Relationship Id="rId424" Type="http://schemas.openxmlformats.org/officeDocument/2006/relationships/hyperlink" Target="https://www.sec.gov/Archives/edgar/data/1674101/000167410126000008/" TargetMode="External"/><Relationship Id="rId425" Type="http://schemas.openxmlformats.org/officeDocument/2006/relationships/hyperlink" Target="https://www.sec.gov/Archives/edgar/data/1674101/000162828025019372/" TargetMode="External"/><Relationship Id="rId426" Type="http://schemas.openxmlformats.org/officeDocument/2006/relationships/hyperlink" Target="https://www.sec.gov/Archives/edgar/data/1674101/000167410125000008/" TargetMode="External"/><Relationship Id="rId427" Type="http://schemas.openxmlformats.org/officeDocument/2006/relationships/hyperlink" Target="https://www.sec.gov/Archives/edgar/data/1674101/000167410125000024/" TargetMode="External"/><Relationship Id="rId428" Type="http://schemas.openxmlformats.org/officeDocument/2006/relationships/hyperlink" Target="https://www.sec.gov/Archives/edgar/data/1674101/000167410126000008/" TargetMode="External"/><Relationship Id="rId429" Type="http://schemas.openxmlformats.org/officeDocument/2006/relationships/hyperlink" Target="https://www.sec.gov/Archives/edgar/data/1674101/000162828026026556/" TargetMode="External"/><Relationship Id="rId430" Type="http://schemas.openxmlformats.org/officeDocument/2006/relationships/hyperlink" Target="https://www.sec.gov/Archives/edgar/data/1674101/000162828026050609/" TargetMode="External"/><Relationship Id="rId431" Type="http://schemas.openxmlformats.org/officeDocument/2006/relationships/hyperlink" Target="https://www.sec.gov/Archives/edgar/data/1674101/000167410125000024/" TargetMode="External"/><Relationship Id="rId432" Type="http://schemas.openxmlformats.org/officeDocument/2006/relationships/hyperlink" Target="https://www.sec.gov/Archives/edgar/data/1674101/000167410126000008/" TargetMode="External"/><Relationship Id="rId433" Type="http://schemas.openxmlformats.org/officeDocument/2006/relationships/hyperlink" Target="https://www.sec.gov/Archives/edgar/data/1674101/000162828026026556/" TargetMode="External"/><Relationship Id="rId434" Type="http://schemas.openxmlformats.org/officeDocument/2006/relationships/hyperlink" Target="https://www.sec.gov/Archives/edgar/data/1674101/000162828026050609/" TargetMode="External"/><Relationship Id="rId435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c.gov/Archives/edgar/data/1341439/000156459021047772/" TargetMode="External"/><Relationship Id="rId2" Type="http://schemas.openxmlformats.org/officeDocument/2006/relationships/hyperlink" Target="https://www.sec.gov/Archives/edgar/data/1341439/000156459021060022/" TargetMode="External"/><Relationship Id="rId3" Type="http://schemas.openxmlformats.org/officeDocument/2006/relationships/hyperlink" Target="https://www.sec.gov/Archives/edgar/data/1341439/000156459021012539/" TargetMode="External"/><Relationship Id="rId4" Type="http://schemas.openxmlformats.org/officeDocument/2006/relationships/hyperlink" Target="https://www.sec.gov/Archives/edgar/data/1341439/000156459022023675/" TargetMode="External"/><Relationship Id="rId5" Type="http://schemas.openxmlformats.org/officeDocument/2006/relationships/hyperlink" Target="https://www.sec.gov/Archives/edgar/data/1341439/000156459022031545/" TargetMode="External"/><Relationship Id="rId6" Type="http://schemas.openxmlformats.org/officeDocument/2006/relationships/hyperlink" Target="https://www.sec.gov/Archives/edgar/data/1341439/000156459022039278/" TargetMode="External"/><Relationship Id="rId7" Type="http://schemas.openxmlformats.org/officeDocument/2006/relationships/hyperlink" Target="https://www.sec.gov/Archives/edgar/data/1341439/000156459022009859/" TargetMode="External"/><Relationship Id="rId8" Type="http://schemas.openxmlformats.org/officeDocument/2006/relationships/hyperlink" Target="https://www.sec.gov/Archives/edgar/data/1341439/000095017023028914/" TargetMode="External"/><Relationship Id="rId9" Type="http://schemas.openxmlformats.org/officeDocument/2006/relationships/hyperlink" Target="https://www.sec.gov/Archives/edgar/data/1341439/000095017023047713/" TargetMode="External"/><Relationship Id="rId10" Type="http://schemas.openxmlformats.org/officeDocument/2006/relationships/hyperlink" Target="https://www.sec.gov/Archives/edgar/data/1341439/000095017023069682/" TargetMode="External"/><Relationship Id="rId11" Type="http://schemas.openxmlformats.org/officeDocument/2006/relationships/hyperlink" Target="https://www.sec.gov/Archives/edgar/data/1341439/000156459023003413/" TargetMode="External"/><Relationship Id="rId12" Type="http://schemas.openxmlformats.org/officeDocument/2006/relationships/hyperlink" Target="https://www.sec.gov/Archives/edgar/data/1341439/000095017024075605/" TargetMode="External"/><Relationship Id="rId13" Type="http://schemas.openxmlformats.org/officeDocument/2006/relationships/hyperlink" Target="https://www.sec.gov/Archives/edgar/data/1341439/000095017024104905/" TargetMode="External"/><Relationship Id="rId14" Type="http://schemas.openxmlformats.org/officeDocument/2006/relationships/hyperlink" Target="https://www.sec.gov/Archives/edgar/data/1341439/000095017024134973/" TargetMode="External"/><Relationship Id="rId15" Type="http://schemas.openxmlformats.org/officeDocument/2006/relationships/hyperlink" Target="https://www.sec.gov/Archives/edgar/data/1341439/000095017024029904/" TargetMode="External"/><Relationship Id="rId16" Type="http://schemas.openxmlformats.org/officeDocument/2006/relationships/hyperlink" Target="https://www.sec.gov/Archives/edgar/data/1341439/000095017025087926/" TargetMode="External"/><Relationship Id="rId17" Type="http://schemas.openxmlformats.org/officeDocument/2006/relationships/hyperlink" Target="https://www.sec.gov/Archives/edgar/data/1341439/000119312525200095/" TargetMode="External"/><Relationship Id="rId18" Type="http://schemas.openxmlformats.org/officeDocument/2006/relationships/hyperlink" Target="https://www.sec.gov/Archives/edgar/data/1341439/000119312525315925/" TargetMode="External"/><Relationship Id="rId19" Type="http://schemas.openxmlformats.org/officeDocument/2006/relationships/hyperlink" Target="https://www.sec.gov/Archives/edgar/data/1341439/000095017025037143/" TargetMode="External"/><Relationship Id="rId20" Type="http://schemas.openxmlformats.org/officeDocument/2006/relationships/hyperlink" Target="https://www.sec.gov/Archives/edgar/data/1341439/000119312526277521/" TargetMode="External"/><Relationship Id="rId21" Type="http://schemas.openxmlformats.org/officeDocument/2006/relationships/hyperlink" Target="https://www.sec.gov/Archives/edgar/data/1341439/000119312526389274/" TargetMode="External"/><Relationship Id="rId22" Type="http://schemas.openxmlformats.org/officeDocument/2006/relationships/hyperlink" Target="https://www.sec.gov/Archives/edgar/data/1341439/000119312525315925/" TargetMode="External"/><Relationship Id="rId23" Type="http://schemas.openxmlformats.org/officeDocument/2006/relationships/hyperlink" Target="https://www.sec.gov/Archives/edgar/data/1341439/000119312526101045/" TargetMode="External"/><Relationship Id="rId24" Type="http://schemas.openxmlformats.org/officeDocument/2006/relationships/hyperlink" Target="https://www.sec.gov/Archives/edgar/data/1341439/000119312526277521/" TargetMode="External"/><Relationship Id="rId25" Type="http://schemas.openxmlformats.org/officeDocument/2006/relationships/hyperlink" Target="https://www.sec.gov/Archives/edgar/data/1341439/000119312526389274/" TargetMode="External"/><Relationship Id="rId26" Type="http://schemas.openxmlformats.org/officeDocument/2006/relationships/hyperlink" Target="https://www.sec.gov/Archives/edgar/data/2488/000000248821000056/" TargetMode="External"/><Relationship Id="rId27" Type="http://schemas.openxmlformats.org/officeDocument/2006/relationships/hyperlink" Target="https://www.sec.gov/Archives/edgar/data/2488/000000248821000116/" TargetMode="External"/><Relationship Id="rId28" Type="http://schemas.openxmlformats.org/officeDocument/2006/relationships/hyperlink" Target="https://www.sec.gov/Archives/edgar/data/2488/000000248821000178/" TargetMode="External"/><Relationship Id="rId29" Type="http://schemas.openxmlformats.org/officeDocument/2006/relationships/hyperlink" Target="https://www.sec.gov/Archives/edgar/data/2488/000000248823000047/" TargetMode="External"/><Relationship Id="rId30" Type="http://schemas.openxmlformats.org/officeDocument/2006/relationships/hyperlink" Target="https://www.sec.gov/Archives/edgar/data/2488/000000248822000078/" TargetMode="External"/><Relationship Id="rId31" Type="http://schemas.openxmlformats.org/officeDocument/2006/relationships/hyperlink" Target="https://www.sec.gov/Archives/edgar/data/2488/000000248822000123/" TargetMode="External"/><Relationship Id="rId32" Type="http://schemas.openxmlformats.org/officeDocument/2006/relationships/hyperlink" Target="https://www.sec.gov/Archives/edgar/data/2488/000000248822000170/" TargetMode="External"/><Relationship Id="rId33" Type="http://schemas.openxmlformats.org/officeDocument/2006/relationships/hyperlink" Target="https://www.sec.gov/Archives/edgar/data/2488/000000248824000012/" TargetMode="External"/><Relationship Id="rId34" Type="http://schemas.openxmlformats.org/officeDocument/2006/relationships/hyperlink" Target="https://www.sec.gov/Archives/edgar/data/2488/000000248823000076/" TargetMode="External"/><Relationship Id="rId35" Type="http://schemas.openxmlformats.org/officeDocument/2006/relationships/hyperlink" Target="https://www.sec.gov/Archives/edgar/data/2488/000000248823000139/" TargetMode="External"/><Relationship Id="rId36" Type="http://schemas.openxmlformats.org/officeDocument/2006/relationships/hyperlink" Target="https://www.sec.gov/Archives/edgar/data/2488/000000248823000195/" TargetMode="External"/><Relationship Id="rId37" Type="http://schemas.openxmlformats.org/officeDocument/2006/relationships/hyperlink" Target="https://www.sec.gov/Archives/edgar/data/2488/000000248825000012/" TargetMode="External"/><Relationship Id="rId38" Type="http://schemas.openxmlformats.org/officeDocument/2006/relationships/hyperlink" Target="https://www.sec.gov/Archives/edgar/data/2488/000000248824000056/" TargetMode="External"/><Relationship Id="rId39" Type="http://schemas.openxmlformats.org/officeDocument/2006/relationships/hyperlink" Target="https://www.sec.gov/Archives/edgar/data/2488/000000248824000123/" TargetMode="External"/><Relationship Id="rId40" Type="http://schemas.openxmlformats.org/officeDocument/2006/relationships/hyperlink" Target="https://www.sec.gov/Archives/edgar/data/2488/000000248824000163/" TargetMode="External"/><Relationship Id="rId41" Type="http://schemas.openxmlformats.org/officeDocument/2006/relationships/hyperlink" Target="https://www.sec.gov/Archives/edgar/data/2488/000000248826000018/" TargetMode="External"/><Relationship Id="rId42" Type="http://schemas.openxmlformats.org/officeDocument/2006/relationships/hyperlink" Target="https://www.sec.gov/Archives/edgar/data/2488/000000248825000047/" TargetMode="External"/><Relationship Id="rId43" Type="http://schemas.openxmlformats.org/officeDocument/2006/relationships/hyperlink" Target="https://www.sec.gov/Archives/edgar/data/2488/000000248825000108/" TargetMode="External"/><Relationship Id="rId44" Type="http://schemas.openxmlformats.org/officeDocument/2006/relationships/hyperlink" Target="https://www.sec.gov/Archives/edgar/data/2488/000000248825000166/" TargetMode="External"/><Relationship Id="rId45" Type="http://schemas.openxmlformats.org/officeDocument/2006/relationships/hyperlink" Target="https://www.sec.gov/Archives/edgar/data/2488/000000248826000018/" TargetMode="External"/><Relationship Id="rId46" Type="http://schemas.openxmlformats.org/officeDocument/2006/relationships/hyperlink" Target="https://www.sec.gov/Archives/edgar/data/2488/000000248826000076/" TargetMode="External"/><Relationship Id="rId47" Type="http://schemas.openxmlformats.org/officeDocument/2006/relationships/hyperlink" Target="https://www.sec.gov/Archives/edgar/data/2488/000000248826000123/" TargetMode="External"/><Relationship Id="rId48" Type="http://schemas.openxmlformats.org/officeDocument/2006/relationships/hyperlink" Target="https://www.sec.gov/Archives/edgar/data/2488/000000248825000166/" TargetMode="External"/><Relationship Id="rId49" Type="http://schemas.openxmlformats.org/officeDocument/2006/relationships/hyperlink" Target="https://www.sec.gov/Archives/edgar/data/2488/000000248826000018/" TargetMode="External"/><Relationship Id="rId50" Type="http://schemas.openxmlformats.org/officeDocument/2006/relationships/hyperlink" Target="https://www.sec.gov/Archives/edgar/data/2488/000000248826000076/" TargetMode="External"/><Relationship Id="rId51" Type="http://schemas.openxmlformats.org/officeDocument/2006/relationships/hyperlink" Target="https://www.sec.gov/Archives/edgar/data/2488/000000248826000123/" TargetMode="External"/><Relationship Id="rId52" Type="http://schemas.openxmlformats.org/officeDocument/2006/relationships/hyperlink" Target="https://www.sec.gov/Archives/edgar/data/1973239/000197323923000011/" TargetMode="External"/><Relationship Id="rId53" Type="http://schemas.openxmlformats.org/officeDocument/2006/relationships/hyperlink" Target="https://www.sec.gov/Archives/edgar/data/1973239/000197323924000004/" TargetMode="External"/><Relationship Id="rId54" Type="http://schemas.openxmlformats.org/officeDocument/2006/relationships/hyperlink" Target="https://www.sec.gov/Archives/edgar/data/1973239/000197323924000019/" TargetMode="External"/><Relationship Id="rId55" Type="http://schemas.openxmlformats.org/officeDocument/2006/relationships/hyperlink" Target="https://www.sec.gov/Archives/edgar/data/1973239/000197323924000040/" TargetMode="External"/><Relationship Id="rId56" Type="http://schemas.openxmlformats.org/officeDocument/2006/relationships/hyperlink" Target="https://www.sec.gov/Archives/edgar/data/1973239/000197323925000007/" TargetMode="External"/><Relationship Id="rId57" Type="http://schemas.openxmlformats.org/officeDocument/2006/relationships/hyperlink" Target="https://www.sec.gov/Archives/edgar/data/1973239/000197323925000024/" TargetMode="External"/><Relationship Id="rId58" Type="http://schemas.openxmlformats.org/officeDocument/2006/relationships/hyperlink" Target="https://www.sec.gov/Archives/edgar/data/1973239/000197323925000043/" TargetMode="External"/><Relationship Id="rId59" Type="http://schemas.openxmlformats.org/officeDocument/2006/relationships/hyperlink" Target="https://www.sec.gov/Archives/edgar/data/1973239/000197323926000006/" TargetMode="External"/><Relationship Id="rId60" Type="http://schemas.openxmlformats.org/officeDocument/2006/relationships/hyperlink" Target="https://www.sec.gov/Archives/edgar/data/1973239/000197323926000097/" TargetMode="External"/><Relationship Id="rId61" Type="http://schemas.openxmlformats.org/officeDocument/2006/relationships/hyperlink" Target="https://www.sec.gov/Archives/edgar/data/1973239/000197323926000114/" TargetMode="External"/><Relationship Id="rId62" Type="http://schemas.openxmlformats.org/officeDocument/2006/relationships/hyperlink" Target="https://www.sec.gov/Archives/edgar/data/1973239/000197323925000043/" TargetMode="External"/><Relationship Id="rId63" Type="http://schemas.openxmlformats.org/officeDocument/2006/relationships/hyperlink" Target="https://www.sec.gov/Archives/edgar/data/1973239/000197323926000006/" TargetMode="External"/><Relationship Id="rId64" Type="http://schemas.openxmlformats.org/officeDocument/2006/relationships/hyperlink" Target="https://www.sec.gov/Archives/edgar/data/1973239/000197323926000097/" TargetMode="External"/><Relationship Id="rId65" Type="http://schemas.openxmlformats.org/officeDocument/2006/relationships/hyperlink" Target="https://www.sec.gov/Archives/edgar/data/1973239/000197323926000114/" TargetMode="External"/><Relationship Id="rId66" Type="http://schemas.openxmlformats.org/officeDocument/2006/relationships/hyperlink" Target="https://www.sec.gov/Archives/edgar/data/1730168/000173016821000045/" TargetMode="External"/><Relationship Id="rId67" Type="http://schemas.openxmlformats.org/officeDocument/2006/relationships/hyperlink" Target="https://www.sec.gov/Archives/edgar/data/1730168/000173016821000116/" TargetMode="External"/><Relationship Id="rId68" Type="http://schemas.openxmlformats.org/officeDocument/2006/relationships/hyperlink" Target="https://www.sec.gov/Archives/edgar/data/1730168/000173016821000123/" TargetMode="External"/><Relationship Id="rId69" Type="http://schemas.openxmlformats.org/officeDocument/2006/relationships/hyperlink" Target="https://www.sec.gov/Archives/edgar/data/1730168/000173016822000118/" TargetMode="External"/><Relationship Id="rId70" Type="http://schemas.openxmlformats.org/officeDocument/2006/relationships/hyperlink" Target="https://www.sec.gov/Archives/edgar/data/1730168/000173016822000029/" TargetMode="External"/><Relationship Id="rId71" Type="http://schemas.openxmlformats.org/officeDocument/2006/relationships/hyperlink" Target="https://www.sec.gov/Archives/edgar/data/1730168/000173016822000081/" TargetMode="External"/><Relationship Id="rId72" Type="http://schemas.openxmlformats.org/officeDocument/2006/relationships/hyperlink" Target="https://www.sec.gov/Archives/edgar/data/1730168/000173016822000094/" TargetMode="External"/><Relationship Id="rId73" Type="http://schemas.openxmlformats.org/officeDocument/2006/relationships/hyperlink" Target="https://www.sec.gov/Archives/edgar/data/1730168/000173016823000096/" TargetMode="External"/><Relationship Id="rId74" Type="http://schemas.openxmlformats.org/officeDocument/2006/relationships/hyperlink" Target="https://www.sec.gov/Archives/edgar/data/1730168/000173016823000008/" TargetMode="External"/><Relationship Id="rId75" Type="http://schemas.openxmlformats.org/officeDocument/2006/relationships/hyperlink" Target="https://www.sec.gov/Archives/edgar/data/1730168/000173016823000064/" TargetMode="External"/><Relationship Id="rId76" Type="http://schemas.openxmlformats.org/officeDocument/2006/relationships/hyperlink" Target="https://www.sec.gov/Archives/edgar/data/1730168/000173016823000077/" TargetMode="External"/><Relationship Id="rId77" Type="http://schemas.openxmlformats.org/officeDocument/2006/relationships/hyperlink" Target="https://www.sec.gov/Archives/edgar/data/1730168/000173016824000139/" TargetMode="External"/><Relationship Id="rId78" Type="http://schemas.openxmlformats.org/officeDocument/2006/relationships/hyperlink" Target="https://www.sec.gov/Archives/edgar/data/1730168/000173016824000023/" TargetMode="External"/><Relationship Id="rId79" Type="http://schemas.openxmlformats.org/officeDocument/2006/relationships/hyperlink" Target="https://www.sec.gov/Archives/edgar/data/1730168/000173016824000080/" TargetMode="External"/><Relationship Id="rId80" Type="http://schemas.openxmlformats.org/officeDocument/2006/relationships/hyperlink" Target="https://www.sec.gov/Archives/edgar/data/1730168/000173016824000099/" TargetMode="External"/><Relationship Id="rId81" Type="http://schemas.openxmlformats.org/officeDocument/2006/relationships/hyperlink" Target="https://www.sec.gov/Archives/edgar/data/1730168/000173016825000121/" TargetMode="External"/><Relationship Id="rId82" Type="http://schemas.openxmlformats.org/officeDocument/2006/relationships/hyperlink" Target="https://www.sec.gov/Archives/edgar/data/1730168/000173016825000021/" TargetMode="External"/><Relationship Id="rId83" Type="http://schemas.openxmlformats.org/officeDocument/2006/relationships/hyperlink" Target="https://www.sec.gov/Archives/edgar/data/1730168/000173016825000064/" TargetMode="External"/><Relationship Id="rId84" Type="http://schemas.openxmlformats.org/officeDocument/2006/relationships/hyperlink" Target="https://www.sec.gov/Archives/edgar/data/1730168/000173016825000098/" TargetMode="External"/><Relationship Id="rId85" Type="http://schemas.openxmlformats.org/officeDocument/2006/relationships/hyperlink" Target="https://www.sec.gov/Archives/edgar/data/1730168/000173016825000121/" TargetMode="External"/><Relationship Id="rId86" Type="http://schemas.openxmlformats.org/officeDocument/2006/relationships/hyperlink" Target="https://www.sec.gov/Archives/edgar/data/1730168/000173016826000016/" TargetMode="External"/><Relationship Id="rId87" Type="http://schemas.openxmlformats.org/officeDocument/2006/relationships/hyperlink" Target="https://www.sec.gov/Archives/edgar/data/1730168/000173016826000054/" TargetMode="External"/><Relationship Id="rId88" Type="http://schemas.openxmlformats.org/officeDocument/2006/relationships/hyperlink" Target="https://www.sec.gov/Archives/edgar/data/1730168/000173016826000080/" TargetMode="External"/><Relationship Id="rId89" Type="http://schemas.openxmlformats.org/officeDocument/2006/relationships/hyperlink" Target="https://www.sec.gov/Archives/edgar/data/1730168/000173016825000121/" TargetMode="External"/><Relationship Id="rId90" Type="http://schemas.openxmlformats.org/officeDocument/2006/relationships/hyperlink" Target="https://www.sec.gov/Archives/edgar/data/1730168/000173016826000016/" TargetMode="External"/><Relationship Id="rId91" Type="http://schemas.openxmlformats.org/officeDocument/2006/relationships/hyperlink" Target="https://www.sec.gov/Archives/edgar/data/1730168/000173016826000054/" TargetMode="External"/><Relationship Id="rId92" Type="http://schemas.openxmlformats.org/officeDocument/2006/relationships/hyperlink" Target="https://www.sec.gov/Archives/edgar/data/50863/000005086321000018/" TargetMode="External"/><Relationship Id="rId93" Type="http://schemas.openxmlformats.org/officeDocument/2006/relationships/hyperlink" Target="https://www.sec.gov/Archives/edgar/data/50863/000005086321000030/" TargetMode="External"/><Relationship Id="rId94" Type="http://schemas.openxmlformats.org/officeDocument/2006/relationships/hyperlink" Target="https://www.sec.gov/Archives/edgar/data/50863/000005086321000038/" TargetMode="External"/><Relationship Id="rId95" Type="http://schemas.openxmlformats.org/officeDocument/2006/relationships/hyperlink" Target="https://www.sec.gov/Archives/edgar/data/50863/000005086323000006/" TargetMode="External"/><Relationship Id="rId96" Type="http://schemas.openxmlformats.org/officeDocument/2006/relationships/hyperlink" Target="https://www.sec.gov/Archives/edgar/data/50863/000005086322000020/" TargetMode="External"/><Relationship Id="rId97" Type="http://schemas.openxmlformats.org/officeDocument/2006/relationships/hyperlink" Target="https://www.sec.gov/Archives/edgar/data/50863/000005086322000030/" TargetMode="External"/><Relationship Id="rId98" Type="http://schemas.openxmlformats.org/officeDocument/2006/relationships/hyperlink" Target="https://www.sec.gov/Archives/edgar/data/50863/000005086322000038/" TargetMode="External"/><Relationship Id="rId99" Type="http://schemas.openxmlformats.org/officeDocument/2006/relationships/hyperlink" Target="https://www.sec.gov/Archives/edgar/data/50863/000005086324000010/" TargetMode="External"/><Relationship Id="rId100" Type="http://schemas.openxmlformats.org/officeDocument/2006/relationships/hyperlink" Target="https://www.sec.gov/Archives/edgar/data/50863/000005086323000028/" TargetMode="External"/><Relationship Id="rId101" Type="http://schemas.openxmlformats.org/officeDocument/2006/relationships/hyperlink" Target="https://www.sec.gov/Archives/edgar/data/50863/000005086323000069/" TargetMode="External"/><Relationship Id="rId102" Type="http://schemas.openxmlformats.org/officeDocument/2006/relationships/hyperlink" Target="https://www.sec.gov/Archives/edgar/data/50863/000005086323000103/" TargetMode="External"/><Relationship Id="rId103" Type="http://schemas.openxmlformats.org/officeDocument/2006/relationships/hyperlink" Target="https://www.sec.gov/Archives/edgar/data/50863/000005086325000009/" TargetMode="External"/><Relationship Id="rId104" Type="http://schemas.openxmlformats.org/officeDocument/2006/relationships/hyperlink" Target="https://www.sec.gov/Archives/edgar/data/50863/000005086324000076/" TargetMode="External"/><Relationship Id="rId105" Type="http://schemas.openxmlformats.org/officeDocument/2006/relationships/hyperlink" Target="https://www.sec.gov/Archives/edgar/data/50863/000005086324000124/" TargetMode="External"/><Relationship Id="rId106" Type="http://schemas.openxmlformats.org/officeDocument/2006/relationships/hyperlink" Target="https://www.sec.gov/Archives/edgar/data/50863/000005086324000149/" TargetMode="External"/><Relationship Id="rId107" Type="http://schemas.openxmlformats.org/officeDocument/2006/relationships/hyperlink" Target="https://www.sec.gov/Archives/edgar/data/50863/000005086326000011/" TargetMode="External"/><Relationship Id="rId108" Type="http://schemas.openxmlformats.org/officeDocument/2006/relationships/hyperlink" Target="https://www.sec.gov/Archives/edgar/data/50863/000005086325000074/" TargetMode="External"/><Relationship Id="rId109" Type="http://schemas.openxmlformats.org/officeDocument/2006/relationships/hyperlink" Target="https://www.sec.gov/Archives/edgar/data/50863/000005086325000109/" TargetMode="External"/><Relationship Id="rId110" Type="http://schemas.openxmlformats.org/officeDocument/2006/relationships/hyperlink" Target="https://www.sec.gov/Archives/edgar/data/50863/000005086325000179/" TargetMode="External"/><Relationship Id="rId111" Type="http://schemas.openxmlformats.org/officeDocument/2006/relationships/hyperlink" Target="https://www.sec.gov/Archives/edgar/data/50863/000005086326000011/" TargetMode="External"/><Relationship Id="rId112" Type="http://schemas.openxmlformats.org/officeDocument/2006/relationships/hyperlink" Target="https://www.sec.gov/Archives/edgar/data/50863/000005086326000079/" TargetMode="External"/><Relationship Id="rId113" Type="http://schemas.openxmlformats.org/officeDocument/2006/relationships/hyperlink" Target="https://www.sec.gov/Archives/edgar/data/50863/000005086326000157/" TargetMode="External"/><Relationship Id="rId114" Type="http://schemas.openxmlformats.org/officeDocument/2006/relationships/hyperlink" Target="https://www.sec.gov/Archives/edgar/data/50863/000005086325000179/" TargetMode="External"/><Relationship Id="rId115" Type="http://schemas.openxmlformats.org/officeDocument/2006/relationships/hyperlink" Target="https://www.sec.gov/Archives/edgar/data/50863/000005086326000011/" TargetMode="External"/><Relationship Id="rId116" Type="http://schemas.openxmlformats.org/officeDocument/2006/relationships/hyperlink" Target="https://www.sec.gov/Archives/edgar/data/50863/000005086326000079/" TargetMode="External"/><Relationship Id="rId117" Type="http://schemas.openxmlformats.org/officeDocument/2006/relationships/hyperlink" Target="https://www.sec.gov/Archives/edgar/data/50863/000005086326000157/" TargetMode="External"/><Relationship Id="rId118" Type="http://schemas.openxmlformats.org/officeDocument/2006/relationships/hyperlink" Target="https://www.sec.gov/Archives/edgar/data/1047127/000104712721000016/" TargetMode="External"/><Relationship Id="rId119" Type="http://schemas.openxmlformats.org/officeDocument/2006/relationships/hyperlink" Target="https://www.sec.gov/Archives/edgar/data/1047127/000104712721000025/" TargetMode="External"/><Relationship Id="rId120" Type="http://schemas.openxmlformats.org/officeDocument/2006/relationships/hyperlink" Target="https://www.sec.gov/Archives/edgar/data/1047127/000104712721000043/" TargetMode="External"/><Relationship Id="rId121" Type="http://schemas.openxmlformats.org/officeDocument/2006/relationships/hyperlink" Target="https://www.sec.gov/Archives/edgar/data/1047127/000104712723000009/" TargetMode="External"/><Relationship Id="rId122" Type="http://schemas.openxmlformats.org/officeDocument/2006/relationships/hyperlink" Target="https://www.sec.gov/Archives/edgar/data/1047127/000104712722000015/" TargetMode="External"/><Relationship Id="rId123" Type="http://schemas.openxmlformats.org/officeDocument/2006/relationships/hyperlink" Target="https://www.sec.gov/Archives/edgar/data/1047127/000104712722000025/" TargetMode="External"/><Relationship Id="rId124" Type="http://schemas.openxmlformats.org/officeDocument/2006/relationships/hyperlink" Target="https://www.sec.gov/Archives/edgar/data/1047127/000104712722000031/" TargetMode="External"/><Relationship Id="rId125" Type="http://schemas.openxmlformats.org/officeDocument/2006/relationships/hyperlink" Target="https://www.sec.gov/Archives/edgar/data/1047127/000104712724000019/" TargetMode="External"/><Relationship Id="rId126" Type="http://schemas.openxmlformats.org/officeDocument/2006/relationships/hyperlink" Target="https://www.sec.gov/Archives/edgar/data/1047127/000104712723000015/" TargetMode="External"/><Relationship Id="rId127" Type="http://schemas.openxmlformats.org/officeDocument/2006/relationships/hyperlink" Target="https://www.sec.gov/Archives/edgar/data/1047127/000104712723000024/" TargetMode="External"/><Relationship Id="rId128" Type="http://schemas.openxmlformats.org/officeDocument/2006/relationships/hyperlink" Target="https://www.sec.gov/Archives/edgar/data/1047127/000104712723000030/" TargetMode="External"/><Relationship Id="rId129" Type="http://schemas.openxmlformats.org/officeDocument/2006/relationships/hyperlink" Target="https://www.sec.gov/Archives/edgar/data/1047127/000104712725000030/" TargetMode="External"/><Relationship Id="rId130" Type="http://schemas.openxmlformats.org/officeDocument/2006/relationships/hyperlink" Target="https://www.sec.gov/Archives/edgar/data/1047127/000104712724000094/" TargetMode="External"/><Relationship Id="rId131" Type="http://schemas.openxmlformats.org/officeDocument/2006/relationships/hyperlink" Target="https://www.sec.gov/Archives/edgar/data/1047127/000104712724000159/" TargetMode="External"/><Relationship Id="rId132" Type="http://schemas.openxmlformats.org/officeDocument/2006/relationships/hyperlink" Target="https://www.sec.gov/Archives/edgar/data/1047127/000104712724000203/" TargetMode="External"/><Relationship Id="rId133" Type="http://schemas.openxmlformats.org/officeDocument/2006/relationships/hyperlink" Target="https://www.sec.gov/Archives/edgar/data/1047127/000104712726000014/" TargetMode="External"/><Relationship Id="rId134" Type="http://schemas.openxmlformats.org/officeDocument/2006/relationships/hyperlink" Target="https://www.sec.gov/Archives/edgar/data/1047127/000104712725000087/" TargetMode="External"/><Relationship Id="rId135" Type="http://schemas.openxmlformats.org/officeDocument/2006/relationships/hyperlink" Target="https://www.sec.gov/Archives/edgar/data/1047127/000104712725000168/" TargetMode="External"/><Relationship Id="rId136" Type="http://schemas.openxmlformats.org/officeDocument/2006/relationships/hyperlink" Target="https://www.sec.gov/Archives/edgar/data/1047127/000104712725000190/" TargetMode="External"/><Relationship Id="rId137" Type="http://schemas.openxmlformats.org/officeDocument/2006/relationships/hyperlink" Target="https://www.sec.gov/Archives/edgar/data/1047127/000104712726000014/" TargetMode="External"/><Relationship Id="rId138" Type="http://schemas.openxmlformats.org/officeDocument/2006/relationships/hyperlink" Target="https://www.sec.gov/Archives/edgar/data/1047127/000104712726000020/" TargetMode="External"/><Relationship Id="rId139" Type="http://schemas.openxmlformats.org/officeDocument/2006/relationships/hyperlink" Target="https://www.sec.gov/Archives/edgar/data/1047127/000104712725000168/" TargetMode="External"/><Relationship Id="rId140" Type="http://schemas.openxmlformats.org/officeDocument/2006/relationships/hyperlink" Target="https://www.sec.gov/Archives/edgar/data/1047127/000104712725000190/" TargetMode="External"/><Relationship Id="rId141" Type="http://schemas.openxmlformats.org/officeDocument/2006/relationships/hyperlink" Target="https://www.sec.gov/Archives/edgar/data/1047127/000104712726000014/" TargetMode="External"/><Relationship Id="rId142" Type="http://schemas.openxmlformats.org/officeDocument/2006/relationships/hyperlink" Target="https://www.sec.gov/Archives/edgar/data/1047127/000104712726000020/" TargetMode="External"/><Relationship Id="rId143" Type="http://schemas.openxmlformats.org/officeDocument/2006/relationships/hyperlink" Target="https://www.sec.gov/Archives/edgar/data/6951/000000695121000023/" TargetMode="External"/><Relationship Id="rId144" Type="http://schemas.openxmlformats.org/officeDocument/2006/relationships/hyperlink" Target="https://www.sec.gov/Archives/edgar/data/6951/000000695121000034/" TargetMode="External"/><Relationship Id="rId145" Type="http://schemas.openxmlformats.org/officeDocument/2006/relationships/hyperlink" Target="https://www.sec.gov/Archives/edgar/data/6951/000000695122000011/" TargetMode="External"/><Relationship Id="rId146" Type="http://schemas.openxmlformats.org/officeDocument/2006/relationships/hyperlink" Target="https://www.sec.gov/Archives/edgar/data/6951/000000695122000022/" TargetMode="External"/><Relationship Id="rId147" Type="http://schemas.openxmlformats.org/officeDocument/2006/relationships/hyperlink" Target="https://www.sec.gov/Archives/edgar/data/6951/000000695122000032/" TargetMode="External"/><Relationship Id="rId148" Type="http://schemas.openxmlformats.org/officeDocument/2006/relationships/hyperlink" Target="https://www.sec.gov/Archives/edgar/data/6951/000000695123000041/" TargetMode="External"/><Relationship Id="rId149" Type="http://schemas.openxmlformats.org/officeDocument/2006/relationships/hyperlink" Target="https://www.sec.gov/Archives/edgar/data/6951/000000695123000012/" TargetMode="External"/><Relationship Id="rId150" Type="http://schemas.openxmlformats.org/officeDocument/2006/relationships/hyperlink" Target="https://www.sec.gov/Archives/edgar/data/6951/000000695123000022/" TargetMode="External"/><Relationship Id="rId151" Type="http://schemas.openxmlformats.org/officeDocument/2006/relationships/hyperlink" Target="https://www.sec.gov/Archives/edgar/data/6951/000000695123000031/" TargetMode="External"/><Relationship Id="rId152" Type="http://schemas.openxmlformats.org/officeDocument/2006/relationships/hyperlink" Target="https://www.sec.gov/Archives/edgar/data/6951/000000695124000044/" TargetMode="External"/><Relationship Id="rId153" Type="http://schemas.openxmlformats.org/officeDocument/2006/relationships/hyperlink" Target="https://www.sec.gov/Archives/edgar/data/6951/000000695124000012/" TargetMode="External"/><Relationship Id="rId154" Type="http://schemas.openxmlformats.org/officeDocument/2006/relationships/hyperlink" Target="https://www.sec.gov/Archives/edgar/data/6951/000000695124000022/" TargetMode="External"/><Relationship Id="rId155" Type="http://schemas.openxmlformats.org/officeDocument/2006/relationships/hyperlink" Target="https://www.sec.gov/Archives/edgar/data/6951/000000695124000032/" TargetMode="External"/><Relationship Id="rId156" Type="http://schemas.openxmlformats.org/officeDocument/2006/relationships/hyperlink" Target="https://www.sec.gov/Archives/edgar/data/6951/000162828025056742/" TargetMode="External"/><Relationship Id="rId157" Type="http://schemas.openxmlformats.org/officeDocument/2006/relationships/hyperlink" Target="https://www.sec.gov/Archives/edgar/data/6951/000000695125000011/" TargetMode="External"/><Relationship Id="rId158" Type="http://schemas.openxmlformats.org/officeDocument/2006/relationships/hyperlink" Target="https://www.sec.gov/Archives/edgar/data/6951/000000695125000024/" TargetMode="External"/><Relationship Id="rId159" Type="http://schemas.openxmlformats.org/officeDocument/2006/relationships/hyperlink" Target="https://www.sec.gov/Archives/edgar/data/6951/000000695125000037/" TargetMode="External"/><Relationship Id="rId160" Type="http://schemas.openxmlformats.org/officeDocument/2006/relationships/hyperlink" Target="https://www.sec.gov/Archives/edgar/data/6951/000162828025056742/" TargetMode="External"/><Relationship Id="rId161" Type="http://schemas.openxmlformats.org/officeDocument/2006/relationships/hyperlink" Target="https://www.sec.gov/Archives/edgar/data/6951/000162828026009694/" TargetMode="External"/><Relationship Id="rId162" Type="http://schemas.openxmlformats.org/officeDocument/2006/relationships/hyperlink" Target="https://www.sec.gov/Archives/edgar/data/6951/000162828026037227/" TargetMode="External"/><Relationship Id="rId163" Type="http://schemas.openxmlformats.org/officeDocument/2006/relationships/hyperlink" Target="https://www.sec.gov/Archives/edgar/data/6951/000162828026058235/" TargetMode="External"/><Relationship Id="rId164" Type="http://schemas.openxmlformats.org/officeDocument/2006/relationships/hyperlink" Target="https://www.sec.gov/Archives/edgar/data/6951/000162828025056742/" TargetMode="External"/><Relationship Id="rId165" Type="http://schemas.openxmlformats.org/officeDocument/2006/relationships/hyperlink" Target="https://www.sec.gov/Archives/edgar/data/6951/000162828026009694/" TargetMode="External"/><Relationship Id="rId166" Type="http://schemas.openxmlformats.org/officeDocument/2006/relationships/hyperlink" Target="https://www.sec.gov/Archives/edgar/data/6951/000162828026037227/" TargetMode="External"/><Relationship Id="rId167" Type="http://schemas.openxmlformats.org/officeDocument/2006/relationships/hyperlink" Target="https://www.sec.gov/Archives/edgar/data/1122411/000095010326011351/dp250868_6k.htm" TargetMode="External"/><Relationship Id="rId168" Type="http://schemas.openxmlformats.org/officeDocument/2006/relationships/hyperlink" Target="https://www.sec.gov/Archives/edgar/data/1122411/000095010326011351/dp250868_6k.htm" TargetMode="External"/><Relationship Id="rId169" Type="http://schemas.openxmlformats.org/officeDocument/2006/relationships/hyperlink" Target="https://www.sec.gov/Archives/edgar/data/1122411/000095010326011351/dp250868_6k.htm" TargetMode="External"/><Relationship Id="rId170" Type="http://schemas.openxmlformats.org/officeDocument/2006/relationships/hyperlink" Target="https://www.sec.gov/Archives/edgar/data/319201/000031920121000037/" TargetMode="External"/><Relationship Id="rId171" Type="http://schemas.openxmlformats.org/officeDocument/2006/relationships/hyperlink" Target="https://www.sec.gov/Archives/edgar/data/319201/000031920122000006/" TargetMode="External"/><Relationship Id="rId172" Type="http://schemas.openxmlformats.org/officeDocument/2006/relationships/hyperlink" Target="https://www.sec.gov/Archives/edgar/data/319201/000031920121000017/" TargetMode="External"/><Relationship Id="rId173" Type="http://schemas.openxmlformats.org/officeDocument/2006/relationships/hyperlink" Target="https://www.sec.gov/Archives/edgar/data/319201/000031920122000023/" TargetMode="External"/><Relationship Id="rId174" Type="http://schemas.openxmlformats.org/officeDocument/2006/relationships/hyperlink" Target="https://www.sec.gov/Archives/edgar/data/319201/000162828022027311/" TargetMode="External"/><Relationship Id="rId175" Type="http://schemas.openxmlformats.org/officeDocument/2006/relationships/hyperlink" Target="https://www.sec.gov/Archives/edgar/data/319201/000031920123000010/" TargetMode="External"/><Relationship Id="rId176" Type="http://schemas.openxmlformats.org/officeDocument/2006/relationships/hyperlink" Target="https://www.sec.gov/Archives/edgar/data/319201/000031920122000012/" TargetMode="External"/><Relationship Id="rId177" Type="http://schemas.openxmlformats.org/officeDocument/2006/relationships/hyperlink" Target="https://www.sec.gov/Archives/edgar/data/319201/000031920123000031/" TargetMode="External"/><Relationship Id="rId178" Type="http://schemas.openxmlformats.org/officeDocument/2006/relationships/hyperlink" Target="https://www.sec.gov/Archives/edgar/data/319201/000031920123000039/" TargetMode="External"/><Relationship Id="rId179" Type="http://schemas.openxmlformats.org/officeDocument/2006/relationships/hyperlink" Target="https://www.sec.gov/Archives/edgar/data/319201/000031920124000006/" TargetMode="External"/><Relationship Id="rId180" Type="http://schemas.openxmlformats.org/officeDocument/2006/relationships/hyperlink" Target="https://www.sec.gov/Archives/edgar/data/319201/000031920123000020/" TargetMode="External"/><Relationship Id="rId181" Type="http://schemas.openxmlformats.org/officeDocument/2006/relationships/hyperlink" Target="https://www.sec.gov/Archives/edgar/data/319201/000031920124000021/" TargetMode="External"/><Relationship Id="rId182" Type="http://schemas.openxmlformats.org/officeDocument/2006/relationships/hyperlink" Target="https://www.sec.gov/Archives/edgar/data/319201/000031920124000027/" TargetMode="External"/><Relationship Id="rId183" Type="http://schemas.openxmlformats.org/officeDocument/2006/relationships/hyperlink" Target="https://www.sec.gov/Archives/edgar/data/319201/000031920125000006/" TargetMode="External"/><Relationship Id="rId184" Type="http://schemas.openxmlformats.org/officeDocument/2006/relationships/hyperlink" Target="https://www.sec.gov/Archives/edgar/data/319201/000031920124000012/" TargetMode="External"/><Relationship Id="rId185" Type="http://schemas.openxmlformats.org/officeDocument/2006/relationships/hyperlink" Target="https://www.sec.gov/Archives/edgar/data/319201/000031920125000024/" TargetMode="External"/><Relationship Id="rId186" Type="http://schemas.openxmlformats.org/officeDocument/2006/relationships/hyperlink" Target="https://www.sec.gov/Archives/edgar/data/319201/000031920125000034/" TargetMode="External"/><Relationship Id="rId187" Type="http://schemas.openxmlformats.org/officeDocument/2006/relationships/hyperlink" Target="https://www.sec.gov/Archives/edgar/data/319201/000031920126000008/" TargetMode="External"/><Relationship Id="rId188" Type="http://schemas.openxmlformats.org/officeDocument/2006/relationships/hyperlink" Target="https://www.sec.gov/Archives/edgar/data/319201/000031920125000012/" TargetMode="External"/><Relationship Id="rId189" Type="http://schemas.openxmlformats.org/officeDocument/2006/relationships/hyperlink" Target="https://www.sec.gov/Archives/edgar/data/319201/000031920126000027/" TargetMode="External"/><Relationship Id="rId190" Type="http://schemas.openxmlformats.org/officeDocument/2006/relationships/hyperlink" Target="https://www.sec.gov/Archives/edgar/data/319201/000031920125000034/" TargetMode="External"/><Relationship Id="rId191" Type="http://schemas.openxmlformats.org/officeDocument/2006/relationships/hyperlink" Target="https://www.sec.gov/Archives/edgar/data/319201/000031920126000008/" TargetMode="External"/><Relationship Id="rId192" Type="http://schemas.openxmlformats.org/officeDocument/2006/relationships/hyperlink" Target="https://www.sec.gov/Archives/edgar/data/319201/000031920126000016/" TargetMode="External"/><Relationship Id="rId193" Type="http://schemas.openxmlformats.org/officeDocument/2006/relationships/hyperlink" Target="https://www.sec.gov/Archives/edgar/data/319201/000031920126000027/" TargetMode="External"/><Relationship Id="rId194" Type="http://schemas.openxmlformats.org/officeDocument/2006/relationships/hyperlink" Target="https://www.sec.gov/Archives/edgar/data/707549/000070754921000155/" TargetMode="External"/><Relationship Id="rId195" Type="http://schemas.openxmlformats.org/officeDocument/2006/relationships/hyperlink" Target="https://www.sec.gov/Archives/edgar/data/707549/000070754922000012/" TargetMode="External"/><Relationship Id="rId196" Type="http://schemas.openxmlformats.org/officeDocument/2006/relationships/hyperlink" Target="https://www.sec.gov/Archives/edgar/data/707549/000070754921000089/" TargetMode="External"/><Relationship Id="rId197" Type="http://schemas.openxmlformats.org/officeDocument/2006/relationships/hyperlink" Target="https://www.sec.gov/Archives/edgar/data/707549/000070754922000107/" TargetMode="External"/><Relationship Id="rId198" Type="http://schemas.openxmlformats.org/officeDocument/2006/relationships/hyperlink" Target="https://www.sec.gov/Archives/edgar/data/707549/000070754922000124/" TargetMode="External"/><Relationship Id="rId199" Type="http://schemas.openxmlformats.org/officeDocument/2006/relationships/hyperlink" Target="https://www.sec.gov/Archives/edgar/data/707549/000070754923000008/" TargetMode="External"/><Relationship Id="rId200" Type="http://schemas.openxmlformats.org/officeDocument/2006/relationships/hyperlink" Target="https://www.sec.gov/Archives/edgar/data/707549/000070754922000067/" TargetMode="External"/><Relationship Id="rId201" Type="http://schemas.openxmlformats.org/officeDocument/2006/relationships/hyperlink" Target="https://www.sec.gov/Archives/edgar/data/707549/000070754923000102/" TargetMode="External"/><Relationship Id="rId202" Type="http://schemas.openxmlformats.org/officeDocument/2006/relationships/hyperlink" Target="https://www.sec.gov/Archives/edgar/data/707549/000070754923000115/" TargetMode="External"/><Relationship Id="rId203" Type="http://schemas.openxmlformats.org/officeDocument/2006/relationships/hyperlink" Target="https://www.sec.gov/Archives/edgar/data/707549/000070754924000016/" TargetMode="External"/><Relationship Id="rId204" Type="http://schemas.openxmlformats.org/officeDocument/2006/relationships/hyperlink" Target="https://www.sec.gov/Archives/edgar/data/707549/000070754923000081/" TargetMode="External"/><Relationship Id="rId205" Type="http://schemas.openxmlformats.org/officeDocument/2006/relationships/hyperlink" Target="https://www.sec.gov/Archives/edgar/data/707549/000070754924000106/" TargetMode="External"/><Relationship Id="rId206" Type="http://schemas.openxmlformats.org/officeDocument/2006/relationships/hyperlink" Target="https://www.sec.gov/Archives/edgar/data/707549/000070754924000128/" TargetMode="External"/><Relationship Id="rId207" Type="http://schemas.openxmlformats.org/officeDocument/2006/relationships/hyperlink" Target="https://www.sec.gov/Archives/edgar/data/707549/000070754925000014/" TargetMode="External"/><Relationship Id="rId208" Type="http://schemas.openxmlformats.org/officeDocument/2006/relationships/hyperlink" Target="https://www.sec.gov/Archives/edgar/data/707549/000070754924000067/" TargetMode="External"/><Relationship Id="rId209" Type="http://schemas.openxmlformats.org/officeDocument/2006/relationships/hyperlink" Target="https://www.sec.gov/Archives/edgar/data/707549/000070754925000075/" TargetMode="External"/><Relationship Id="rId210" Type="http://schemas.openxmlformats.org/officeDocument/2006/relationships/hyperlink" Target="https://www.sec.gov/Archives/edgar/data/707549/000070754925000085/" TargetMode="External"/><Relationship Id="rId211" Type="http://schemas.openxmlformats.org/officeDocument/2006/relationships/hyperlink" Target="https://www.sec.gov/Archives/edgar/data/707549/000070754926000009/" TargetMode="External"/><Relationship Id="rId212" Type="http://schemas.openxmlformats.org/officeDocument/2006/relationships/hyperlink" Target="https://www.sec.gov/Archives/edgar/data/707549/000070754925000054/" TargetMode="External"/><Relationship Id="rId213" Type="http://schemas.openxmlformats.org/officeDocument/2006/relationships/hyperlink" Target="https://www.sec.gov/Archives/edgar/data/707549/000070754926000037/" TargetMode="External"/><Relationship Id="rId214" Type="http://schemas.openxmlformats.org/officeDocument/2006/relationships/hyperlink" Target="https://www.sec.gov/Archives/edgar/data/707549/000070754925000085/" TargetMode="External"/><Relationship Id="rId215" Type="http://schemas.openxmlformats.org/officeDocument/2006/relationships/hyperlink" Target="https://www.sec.gov/Archives/edgar/data/707549/000070754926000009/" TargetMode="External"/><Relationship Id="rId216" Type="http://schemas.openxmlformats.org/officeDocument/2006/relationships/hyperlink" Target="https://www.sec.gov/Archives/edgar/data/707549/000070754926000022/" TargetMode="External"/><Relationship Id="rId217" Type="http://schemas.openxmlformats.org/officeDocument/2006/relationships/hyperlink" Target="https://www.sec.gov/Archives/edgar/data/707549/000070754926000037/" TargetMode="External"/><Relationship Id="rId218" Type="http://schemas.openxmlformats.org/officeDocument/2006/relationships/hyperlink" Target="https://ssl4.eir-parts.net/doc/285A/tdnet/2859905/00.pdf" TargetMode="External"/><Relationship Id="rId219" Type="http://schemas.openxmlformats.org/officeDocument/2006/relationships/hyperlink" Target="https://ssl4.eir-parts.net/doc/285A/tdnet/2815552/00.pdf" TargetMode="External"/><Relationship Id="rId220" Type="http://schemas.openxmlformats.org/officeDocument/2006/relationships/hyperlink" Target="https://ssl4.eir-parts.net/doc/285A/tdnet/2859905/00.pdf" TargetMode="External"/><Relationship Id="rId221" Type="http://schemas.openxmlformats.org/officeDocument/2006/relationships/hyperlink" Target="https://www.sec.gov/Archives/edgar/data/723125/000072312522000004/" TargetMode="External"/><Relationship Id="rId222" Type="http://schemas.openxmlformats.org/officeDocument/2006/relationships/hyperlink" Target="https://www.sec.gov/Archives/edgar/data/723125/000072312521000032/" TargetMode="External"/><Relationship Id="rId223" Type="http://schemas.openxmlformats.org/officeDocument/2006/relationships/hyperlink" Target="https://www.sec.gov/Archives/edgar/data/723125/000072312521000052/" TargetMode="External"/><Relationship Id="rId224" Type="http://schemas.openxmlformats.org/officeDocument/2006/relationships/hyperlink" Target="https://www.sec.gov/Archives/edgar/data/723125/000072312522000048/" TargetMode="External"/><Relationship Id="rId225" Type="http://schemas.openxmlformats.org/officeDocument/2006/relationships/hyperlink" Target="https://www.sec.gov/Archives/edgar/data/723125/000072312522000072/" TargetMode="External"/><Relationship Id="rId226" Type="http://schemas.openxmlformats.org/officeDocument/2006/relationships/hyperlink" Target="https://www.sec.gov/Archives/edgar/data/723125/000072312522000016/" TargetMode="External"/><Relationship Id="rId227" Type="http://schemas.openxmlformats.org/officeDocument/2006/relationships/hyperlink" Target="https://www.sec.gov/Archives/edgar/data/723125/000072312522000036/" TargetMode="External"/><Relationship Id="rId228" Type="http://schemas.openxmlformats.org/officeDocument/2006/relationships/hyperlink" Target="https://www.sec.gov/Archives/edgar/data/723125/000072312523000054/" TargetMode="External"/><Relationship Id="rId229" Type="http://schemas.openxmlformats.org/officeDocument/2006/relationships/hyperlink" Target="https://www.sec.gov/Archives/edgar/data/723125/000072312523000077/" TargetMode="External"/><Relationship Id="rId230" Type="http://schemas.openxmlformats.org/officeDocument/2006/relationships/hyperlink" Target="https://www.sec.gov/Archives/edgar/data/723125/000072312523000022/" TargetMode="External"/><Relationship Id="rId231" Type="http://schemas.openxmlformats.org/officeDocument/2006/relationships/hyperlink" Target="https://www.sec.gov/Archives/edgar/data/723125/000072312523000041/" TargetMode="External"/><Relationship Id="rId232" Type="http://schemas.openxmlformats.org/officeDocument/2006/relationships/hyperlink" Target="https://www.sec.gov/Archives/edgar/data/723125/000072312524000027/" TargetMode="External"/><Relationship Id="rId233" Type="http://schemas.openxmlformats.org/officeDocument/2006/relationships/hyperlink" Target="https://www.sec.gov/Archives/edgar/data/723125/000072312524000047/" TargetMode="External"/><Relationship Id="rId234" Type="http://schemas.openxmlformats.org/officeDocument/2006/relationships/hyperlink" Target="https://www.sec.gov/Archives/edgar/data/723125/000072312524000007/" TargetMode="External"/><Relationship Id="rId235" Type="http://schemas.openxmlformats.org/officeDocument/2006/relationships/hyperlink" Target="https://www.sec.gov/Archives/edgar/data/723125/000072312524000019/" TargetMode="External"/><Relationship Id="rId236" Type="http://schemas.openxmlformats.org/officeDocument/2006/relationships/hyperlink" Target="https://www.sec.gov/Archives/edgar/data/723125/000072312525000028/" TargetMode="External"/><Relationship Id="rId237" Type="http://schemas.openxmlformats.org/officeDocument/2006/relationships/hyperlink" Target="https://www.sec.gov/Archives/edgar/data/723125/000072312525000046/" TargetMode="External"/><Relationship Id="rId238" Type="http://schemas.openxmlformats.org/officeDocument/2006/relationships/hyperlink" Target="https://www.sec.gov/Archives/edgar/data/723125/000072312525000009/" TargetMode="External"/><Relationship Id="rId239" Type="http://schemas.openxmlformats.org/officeDocument/2006/relationships/hyperlink" Target="https://www.sec.gov/Archives/edgar/data/723125/000072312525000021/" TargetMode="External"/><Relationship Id="rId240" Type="http://schemas.openxmlformats.org/officeDocument/2006/relationships/hyperlink" Target="https://www.sec.gov/Archives/edgar/data/723125/000072312525000028/" TargetMode="External"/><Relationship Id="rId241" Type="http://schemas.openxmlformats.org/officeDocument/2006/relationships/hyperlink" Target="https://www.sec.gov/Archives/edgar/data/723125/000072312525000046/" TargetMode="External"/><Relationship Id="rId242" Type="http://schemas.openxmlformats.org/officeDocument/2006/relationships/hyperlink" Target="https://www.sec.gov/Archives/edgar/data/723125/000072312526000006/" TargetMode="External"/><Relationship Id="rId243" Type="http://schemas.openxmlformats.org/officeDocument/2006/relationships/hyperlink" Target="https://www.sec.gov/Archives/edgar/data/723125/000072312526000015/" TargetMode="External"/><Relationship Id="rId244" Type="http://schemas.openxmlformats.org/officeDocument/2006/relationships/hyperlink" Target="https://www.sec.gov/Archives/edgar/data/723125/000072312525000028/" TargetMode="External"/><Relationship Id="rId245" Type="http://schemas.openxmlformats.org/officeDocument/2006/relationships/hyperlink" Target="https://www.sec.gov/Archives/edgar/data/723125/000072312526000006/" TargetMode="External"/><Relationship Id="rId246" Type="http://schemas.openxmlformats.org/officeDocument/2006/relationships/hyperlink" Target="https://www.sec.gov/Archives/edgar/data/106040/000010604021000053/" TargetMode="External"/><Relationship Id="rId247" Type="http://schemas.openxmlformats.org/officeDocument/2006/relationships/hyperlink" Target="https://www.sec.gov/Archives/edgar/data/106040/000010604021000011/" TargetMode="External"/><Relationship Id="rId248" Type="http://schemas.openxmlformats.org/officeDocument/2006/relationships/hyperlink" Target="https://www.sec.gov/Archives/edgar/data/106040/000010604021000024/" TargetMode="External"/><Relationship Id="rId249" Type="http://schemas.openxmlformats.org/officeDocument/2006/relationships/hyperlink" Target="https://www.sec.gov/Archives/edgar/data/106040/000010604022000055/" TargetMode="External"/><Relationship Id="rId250" Type="http://schemas.openxmlformats.org/officeDocument/2006/relationships/hyperlink" Target="https://www.sec.gov/Archives/edgar/data/106040/000010604022000065/" TargetMode="External"/><Relationship Id="rId251" Type="http://schemas.openxmlformats.org/officeDocument/2006/relationships/hyperlink" Target="https://www.sec.gov/Archives/edgar/data/106040/000010604023000010/" TargetMode="External"/><Relationship Id="rId252" Type="http://schemas.openxmlformats.org/officeDocument/2006/relationships/hyperlink" Target="https://www.sec.gov/Archives/edgar/data/106040/000010604022000040/" TargetMode="External"/><Relationship Id="rId253" Type="http://schemas.openxmlformats.org/officeDocument/2006/relationships/hyperlink" Target="https://www.sec.gov/Archives/edgar/data/106040/000010604023000024/" TargetMode="External"/><Relationship Id="rId254" Type="http://schemas.openxmlformats.org/officeDocument/2006/relationships/hyperlink" Target="https://www.sec.gov/Archives/edgar/data/106040/000010604023000034/" TargetMode="External"/><Relationship Id="rId255" Type="http://schemas.openxmlformats.org/officeDocument/2006/relationships/hyperlink" Target="https://www.sec.gov/Archives/edgar/data/106040/000010604024000014/" TargetMode="External"/><Relationship Id="rId256" Type="http://schemas.openxmlformats.org/officeDocument/2006/relationships/hyperlink" Target="https://www.sec.gov/Archives/edgar/data/106040/000010604023000017/" TargetMode="External"/><Relationship Id="rId257" Type="http://schemas.openxmlformats.org/officeDocument/2006/relationships/hyperlink" Target="https://www.sec.gov/Archives/edgar/data/106040/000010604024000031/" TargetMode="External"/><Relationship Id="rId258" Type="http://schemas.openxmlformats.org/officeDocument/2006/relationships/hyperlink" Target="https://www.sec.gov/Archives/edgar/data/106040/000010604024000040/" TargetMode="External"/><Relationship Id="rId259" Type="http://schemas.openxmlformats.org/officeDocument/2006/relationships/hyperlink" Target="https://www.sec.gov/Archives/edgar/data/106040/000010604025000008/" TargetMode="External"/><Relationship Id="rId260" Type="http://schemas.openxmlformats.org/officeDocument/2006/relationships/hyperlink" Target="https://www.sec.gov/Archives/edgar/data/106040/000010604024000022/" TargetMode="External"/><Relationship Id="rId261" Type="http://schemas.openxmlformats.org/officeDocument/2006/relationships/hyperlink" Target="https://www.sec.gov/Archives/edgar/data/106040/000162828025047613/" TargetMode="External"/><Relationship Id="rId262" Type="http://schemas.openxmlformats.org/officeDocument/2006/relationships/hyperlink" Target="https://www.sec.gov/Archives/edgar/data/106040/000162828026004207/" TargetMode="External"/><Relationship Id="rId263" Type="http://schemas.openxmlformats.org/officeDocument/2006/relationships/hyperlink" Target="https://www.sec.gov/Archives/edgar/data/106040/000010604025000026/" TargetMode="External"/><Relationship Id="rId264" Type="http://schemas.openxmlformats.org/officeDocument/2006/relationships/hyperlink" Target="https://www.sec.gov/Archives/edgar/data/106040/000162828025047613/" TargetMode="External"/><Relationship Id="rId265" Type="http://schemas.openxmlformats.org/officeDocument/2006/relationships/hyperlink" Target="https://www.sec.gov/Archives/edgar/data/106040/000162828026029054/" TargetMode="External"/><Relationship Id="rId266" Type="http://schemas.openxmlformats.org/officeDocument/2006/relationships/hyperlink" Target="https://www.sec.gov/Archives/edgar/data/106040/000162828026057139/" TargetMode="External"/><Relationship Id="rId267" Type="http://schemas.openxmlformats.org/officeDocument/2006/relationships/hyperlink" Target="https://www.sec.gov/Archives/edgar/data/106040/000162828026004207/" TargetMode="External"/><Relationship Id="rId268" Type="http://schemas.openxmlformats.org/officeDocument/2006/relationships/hyperlink" Target="https://www.sec.gov/Archives/edgar/data/1596532/000159653221000149/" TargetMode="External"/><Relationship Id="rId269" Type="http://schemas.openxmlformats.org/officeDocument/2006/relationships/hyperlink" Target="https://www.sec.gov/Archives/edgar/data/1596532/000159653221000255/" TargetMode="External"/><Relationship Id="rId270" Type="http://schemas.openxmlformats.org/officeDocument/2006/relationships/hyperlink" Target="https://www.sec.gov/Archives/edgar/data/1596532/000159653221000354/" TargetMode="External"/><Relationship Id="rId271" Type="http://schemas.openxmlformats.org/officeDocument/2006/relationships/hyperlink" Target="https://www.sec.gov/Archives/edgar/data/1596532/000159653223000016/" TargetMode="External"/><Relationship Id="rId272" Type="http://schemas.openxmlformats.org/officeDocument/2006/relationships/hyperlink" Target="https://www.sec.gov/Archives/edgar/data/1596532/000159653222000112/" TargetMode="External"/><Relationship Id="rId273" Type="http://schemas.openxmlformats.org/officeDocument/2006/relationships/hyperlink" Target="https://www.sec.gov/Archives/edgar/data/1596532/000159653222000220/" TargetMode="External"/><Relationship Id="rId274" Type="http://schemas.openxmlformats.org/officeDocument/2006/relationships/hyperlink" Target="https://www.sec.gov/Archives/edgar/data/1596532/000159653222000294/" TargetMode="External"/><Relationship Id="rId275" Type="http://schemas.openxmlformats.org/officeDocument/2006/relationships/hyperlink" Target="https://www.sec.gov/Archives/edgar/data/1596532/000159653224000043/" TargetMode="External"/><Relationship Id="rId276" Type="http://schemas.openxmlformats.org/officeDocument/2006/relationships/hyperlink" Target="https://www.sec.gov/Archives/edgar/data/1596532/000159653223000104/" TargetMode="External"/><Relationship Id="rId277" Type="http://schemas.openxmlformats.org/officeDocument/2006/relationships/hyperlink" Target="https://www.sec.gov/Archives/edgar/data/1596532/000159653223000197/" TargetMode="External"/><Relationship Id="rId278" Type="http://schemas.openxmlformats.org/officeDocument/2006/relationships/hyperlink" Target="https://www.sec.gov/Archives/edgar/data/1596532/000159653223000274/" TargetMode="External"/><Relationship Id="rId279" Type="http://schemas.openxmlformats.org/officeDocument/2006/relationships/hyperlink" Target="https://www.sec.gov/Archives/edgar/data/1596532/000159653225000028/" TargetMode="External"/><Relationship Id="rId280" Type="http://schemas.openxmlformats.org/officeDocument/2006/relationships/hyperlink" Target="https://www.sec.gov/Archives/edgar/data/1596532/000159653224000173/" TargetMode="External"/><Relationship Id="rId281" Type="http://schemas.openxmlformats.org/officeDocument/2006/relationships/hyperlink" Target="https://www.sec.gov/Archives/edgar/data/1596532/000159653224000279/" TargetMode="External"/><Relationship Id="rId282" Type="http://schemas.openxmlformats.org/officeDocument/2006/relationships/hyperlink" Target="https://www.sec.gov/Archives/edgar/data/1596532/000159653224000368/" TargetMode="External"/><Relationship Id="rId283" Type="http://schemas.openxmlformats.org/officeDocument/2006/relationships/hyperlink" Target="https://www.sec.gov/Archives/edgar/data/1596532/000159653226000013/" TargetMode="External"/><Relationship Id="rId284" Type="http://schemas.openxmlformats.org/officeDocument/2006/relationships/hyperlink" Target="https://www.sec.gov/Archives/edgar/data/1596532/000159653225000106/" TargetMode="External"/><Relationship Id="rId285" Type="http://schemas.openxmlformats.org/officeDocument/2006/relationships/hyperlink" Target="https://www.sec.gov/Archives/edgar/data/1596532/000159653225000216/" TargetMode="External"/><Relationship Id="rId286" Type="http://schemas.openxmlformats.org/officeDocument/2006/relationships/hyperlink" Target="https://www.sec.gov/Archives/edgar/data/1596532/000159653225000286/" TargetMode="External"/><Relationship Id="rId287" Type="http://schemas.openxmlformats.org/officeDocument/2006/relationships/hyperlink" Target="https://www.sec.gov/Archives/edgar/data/1596532/000159653226000013/" TargetMode="External"/><Relationship Id="rId288" Type="http://schemas.openxmlformats.org/officeDocument/2006/relationships/hyperlink" Target="https://www.sec.gov/Archives/edgar/data/1596532/000159653226000078/" TargetMode="External"/><Relationship Id="rId289" Type="http://schemas.openxmlformats.org/officeDocument/2006/relationships/hyperlink" Target="https://www.sec.gov/Archives/edgar/data/1596532/000159653226000175/" TargetMode="External"/><Relationship Id="rId290" Type="http://schemas.openxmlformats.org/officeDocument/2006/relationships/hyperlink" Target="https://www.sec.gov/Archives/edgar/data/1596532/000159653225000286/" TargetMode="External"/><Relationship Id="rId291" Type="http://schemas.openxmlformats.org/officeDocument/2006/relationships/hyperlink" Target="https://www.sec.gov/Archives/edgar/data/1596532/000159653226000013/" TargetMode="External"/><Relationship Id="rId292" Type="http://schemas.openxmlformats.org/officeDocument/2006/relationships/hyperlink" Target="https://www.sec.gov/Archives/edgar/data/1596532/000159653226000078/" TargetMode="External"/><Relationship Id="rId293" Type="http://schemas.openxmlformats.org/officeDocument/2006/relationships/hyperlink" Target="https://www.sec.gov/Archives/edgar/data/1596532/000159653226000175/" TargetMode="External"/><Relationship Id="rId294" Type="http://schemas.openxmlformats.org/officeDocument/2006/relationships/hyperlink" Target="https://www.sec.gov/Archives/edgar/data/820318/000082031821000022/" TargetMode="External"/><Relationship Id="rId295" Type="http://schemas.openxmlformats.org/officeDocument/2006/relationships/hyperlink" Target="https://www.sec.gov/Archives/edgar/data/820318/000082031822000004/" TargetMode="External"/><Relationship Id="rId296" Type="http://schemas.openxmlformats.org/officeDocument/2006/relationships/hyperlink" Target="https://www.sec.gov/Archives/edgar/data/820318/000082031821000012/" TargetMode="External"/><Relationship Id="rId297" Type="http://schemas.openxmlformats.org/officeDocument/2006/relationships/hyperlink" Target="https://www.sec.gov/Archives/edgar/data/820318/000082031822000019/" TargetMode="External"/><Relationship Id="rId298" Type="http://schemas.openxmlformats.org/officeDocument/2006/relationships/hyperlink" Target="https://www.sec.gov/Archives/edgar/data/820318/000082031822000027/" TargetMode="External"/><Relationship Id="rId299" Type="http://schemas.openxmlformats.org/officeDocument/2006/relationships/hyperlink" Target="https://www.sec.gov/Archives/edgar/data/820318/000082031823000005/" TargetMode="External"/><Relationship Id="rId300" Type="http://schemas.openxmlformats.org/officeDocument/2006/relationships/hyperlink" Target="https://www.sec.gov/Archives/edgar/data/820318/000082031822000010/" TargetMode="External"/><Relationship Id="rId301" Type="http://schemas.openxmlformats.org/officeDocument/2006/relationships/hyperlink" Target="https://www.sec.gov/Archives/edgar/data/820318/000082031823000016/" TargetMode="External"/><Relationship Id="rId302" Type="http://schemas.openxmlformats.org/officeDocument/2006/relationships/hyperlink" Target="https://www.sec.gov/Archives/edgar/data/820318/000082031823000029/" TargetMode="External"/><Relationship Id="rId303" Type="http://schemas.openxmlformats.org/officeDocument/2006/relationships/hyperlink" Target="https://www.sec.gov/Archives/edgar/data/820318/000082031824000004/" TargetMode="External"/><Relationship Id="rId304" Type="http://schemas.openxmlformats.org/officeDocument/2006/relationships/hyperlink" Target="https://www.sec.gov/Archives/edgar/data/820318/000082031823000009/" TargetMode="External"/><Relationship Id="rId305" Type="http://schemas.openxmlformats.org/officeDocument/2006/relationships/hyperlink" Target="https://www.sec.gov/Archives/edgar/data/820318/000082031824000016/" TargetMode="External"/><Relationship Id="rId306" Type="http://schemas.openxmlformats.org/officeDocument/2006/relationships/hyperlink" Target="https://www.sec.gov/Archives/edgar/data/820318/000082031824000035/" TargetMode="External"/><Relationship Id="rId307" Type="http://schemas.openxmlformats.org/officeDocument/2006/relationships/hyperlink" Target="https://www.sec.gov/Archives/edgar/data/820318/000082031825000004/" TargetMode="External"/><Relationship Id="rId308" Type="http://schemas.openxmlformats.org/officeDocument/2006/relationships/hyperlink" Target="https://www.sec.gov/Archives/edgar/data/820318/000082031824000009/" TargetMode="External"/><Relationship Id="rId309" Type="http://schemas.openxmlformats.org/officeDocument/2006/relationships/hyperlink" Target="https://www.sec.gov/Archives/edgar/data/820318/000082031825000014/" TargetMode="External"/><Relationship Id="rId310" Type="http://schemas.openxmlformats.org/officeDocument/2006/relationships/hyperlink" Target="https://www.sec.gov/Archives/edgar/data/820318/000082031825000019/" TargetMode="External"/><Relationship Id="rId311" Type="http://schemas.openxmlformats.org/officeDocument/2006/relationships/hyperlink" Target="https://www.sec.gov/Archives/edgar/data/820318/000082031826000006/" TargetMode="External"/><Relationship Id="rId312" Type="http://schemas.openxmlformats.org/officeDocument/2006/relationships/hyperlink" Target="https://www.sec.gov/Archives/edgar/data/820318/000082031825000009/" TargetMode="External"/><Relationship Id="rId313" Type="http://schemas.openxmlformats.org/officeDocument/2006/relationships/hyperlink" Target="https://www.sec.gov/Archives/edgar/data/820318/000082031826000020/" TargetMode="External"/><Relationship Id="rId314" Type="http://schemas.openxmlformats.org/officeDocument/2006/relationships/hyperlink" Target="https://www.sec.gov/Archives/edgar/data/820318/000082031825000019/" TargetMode="External"/><Relationship Id="rId315" Type="http://schemas.openxmlformats.org/officeDocument/2006/relationships/hyperlink" Target="https://www.sec.gov/Archives/edgar/data/820318/000082031826000006/" TargetMode="External"/><Relationship Id="rId316" Type="http://schemas.openxmlformats.org/officeDocument/2006/relationships/hyperlink" Target="https://www.sec.gov/Archives/edgar/data/820318/000082031826000013/" TargetMode="External"/><Relationship Id="rId317" Type="http://schemas.openxmlformats.org/officeDocument/2006/relationships/hyperlink" Target="https://www.sec.gov/Archives/edgar/data/820318/000082031826000020/" TargetMode="External"/><Relationship Id="rId318" Type="http://schemas.openxmlformats.org/officeDocument/2006/relationships/hyperlink" Target="https://www.sec.gov/Archives/edgar/data/1835632/000183563221000010/" TargetMode="External"/><Relationship Id="rId319" Type="http://schemas.openxmlformats.org/officeDocument/2006/relationships/hyperlink" Target="https://www.sec.gov/Archives/edgar/data/1835632/000183563221000022/" TargetMode="External"/><Relationship Id="rId320" Type="http://schemas.openxmlformats.org/officeDocument/2006/relationships/hyperlink" Target="https://www.sec.gov/Archives/edgar/data/1835632/000183563221000032/" TargetMode="External"/><Relationship Id="rId321" Type="http://schemas.openxmlformats.org/officeDocument/2006/relationships/hyperlink" Target="https://www.sec.gov/Archives/edgar/data/1835632/000183563222000028/" TargetMode="External"/><Relationship Id="rId322" Type="http://schemas.openxmlformats.org/officeDocument/2006/relationships/hyperlink" Target="https://www.sec.gov/Archives/edgar/data/1835632/000183563222000041/" TargetMode="External"/><Relationship Id="rId323" Type="http://schemas.openxmlformats.org/officeDocument/2006/relationships/hyperlink" Target="https://www.sec.gov/Archives/edgar/data/1835632/000183563222000053/" TargetMode="External"/><Relationship Id="rId324" Type="http://schemas.openxmlformats.org/officeDocument/2006/relationships/hyperlink" Target="https://www.sec.gov/Archives/edgar/data/1835632/000183563223000013/" TargetMode="External"/><Relationship Id="rId325" Type="http://schemas.openxmlformats.org/officeDocument/2006/relationships/hyperlink" Target="https://www.sec.gov/Archives/edgar/data/1835632/000183563223000029/" TargetMode="External"/><Relationship Id="rId326" Type="http://schemas.openxmlformats.org/officeDocument/2006/relationships/hyperlink" Target="https://www.sec.gov/Archives/edgar/data/1835632/000183563223000038/" TargetMode="External"/><Relationship Id="rId327" Type="http://schemas.openxmlformats.org/officeDocument/2006/relationships/hyperlink" Target="https://www.sec.gov/Archives/edgar/data/1835632/000183563223000046/" TargetMode="External"/><Relationship Id="rId328" Type="http://schemas.openxmlformats.org/officeDocument/2006/relationships/hyperlink" Target="https://www.sec.gov/Archives/edgar/data/1835632/000183563224000009/" TargetMode="External"/><Relationship Id="rId329" Type="http://schemas.openxmlformats.org/officeDocument/2006/relationships/hyperlink" Target="https://www.sec.gov/Archives/edgar/data/1835632/000183563224000063/" TargetMode="External"/><Relationship Id="rId330" Type="http://schemas.openxmlformats.org/officeDocument/2006/relationships/hyperlink" Target="https://www.sec.gov/Archives/edgar/data/1835632/000183563224000142/" TargetMode="External"/><Relationship Id="rId331" Type="http://schemas.openxmlformats.org/officeDocument/2006/relationships/hyperlink" Target="https://www.sec.gov/Archives/edgar/data/1835632/000183563224000200/" TargetMode="External"/><Relationship Id="rId332" Type="http://schemas.openxmlformats.org/officeDocument/2006/relationships/hyperlink" Target="https://www.sec.gov/Archives/edgar/data/1835632/000183563225000057/" TargetMode="External"/><Relationship Id="rId333" Type="http://schemas.openxmlformats.org/officeDocument/2006/relationships/hyperlink" Target="https://www.sec.gov/Archives/edgar/data/1835632/000183563225000117/" TargetMode="External"/><Relationship Id="rId334" Type="http://schemas.openxmlformats.org/officeDocument/2006/relationships/hyperlink" Target="https://www.sec.gov/Archives/edgar/data/1835632/000183563225000189/" TargetMode="External"/><Relationship Id="rId335" Type="http://schemas.openxmlformats.org/officeDocument/2006/relationships/hyperlink" Target="https://www.sec.gov/Archives/edgar/data/1835632/000183563225000197/" TargetMode="External"/><Relationship Id="rId336" Type="http://schemas.openxmlformats.org/officeDocument/2006/relationships/hyperlink" Target="https://www.sec.gov/Archives/edgar/data/1835632/000183563226000011/" TargetMode="External"/><Relationship Id="rId337" Type="http://schemas.openxmlformats.org/officeDocument/2006/relationships/hyperlink" Target="https://www.sec.gov/Archives/edgar/data/1835632/000183563226000019/" TargetMode="External"/><Relationship Id="rId338" Type="http://schemas.openxmlformats.org/officeDocument/2006/relationships/hyperlink" Target="https://www.sec.gov/Archives/edgar/data/1835632/000183563226000025/" TargetMode="External"/><Relationship Id="rId339" Type="http://schemas.openxmlformats.org/officeDocument/2006/relationships/hyperlink" Target="https://www.sec.gov/Archives/edgar/data/1835632/000183563225000197/" TargetMode="External"/><Relationship Id="rId340" Type="http://schemas.openxmlformats.org/officeDocument/2006/relationships/hyperlink" Target="https://www.sec.gov/Archives/edgar/data/1835632/000183563226000011/" TargetMode="External"/><Relationship Id="rId341" Type="http://schemas.openxmlformats.org/officeDocument/2006/relationships/hyperlink" Target="https://www.sec.gov/Archives/edgar/data/1835632/000183563226000019/" TargetMode="External"/><Relationship Id="rId342" Type="http://schemas.openxmlformats.org/officeDocument/2006/relationships/hyperlink" Target="https://www.sec.gov/Archives/edgar/data/1835632/000183563226000025/" TargetMode="External"/><Relationship Id="rId343" Type="http://schemas.openxmlformats.org/officeDocument/2006/relationships/hyperlink" Target="https://www.sec.gov/Archives/edgar/data/320193/000032019322000007/" TargetMode="External"/><Relationship Id="rId344" Type="http://schemas.openxmlformats.org/officeDocument/2006/relationships/hyperlink" Target="https://www.sec.gov/Archives/edgar/data/320193/000032019321000056/" TargetMode="External"/><Relationship Id="rId345" Type="http://schemas.openxmlformats.org/officeDocument/2006/relationships/hyperlink" Target="https://www.sec.gov/Archives/edgar/data/320193/000032019321000065/" TargetMode="External"/><Relationship Id="rId346" Type="http://schemas.openxmlformats.org/officeDocument/2006/relationships/hyperlink" Target="https://www.sec.gov/Archives/edgar/data/320193/000032019322000108/" TargetMode="External"/><Relationship Id="rId347" Type="http://schemas.openxmlformats.org/officeDocument/2006/relationships/hyperlink" Target="https://www.sec.gov/Archives/edgar/data/320193/000032019323000006/" TargetMode="External"/><Relationship Id="rId348" Type="http://schemas.openxmlformats.org/officeDocument/2006/relationships/hyperlink" Target="https://www.sec.gov/Archives/edgar/data/320193/000032019322000059/" TargetMode="External"/><Relationship Id="rId349" Type="http://schemas.openxmlformats.org/officeDocument/2006/relationships/hyperlink" Target="https://www.sec.gov/Archives/edgar/data/320193/000032019322000070/" TargetMode="External"/><Relationship Id="rId350" Type="http://schemas.openxmlformats.org/officeDocument/2006/relationships/hyperlink" Target="https://www.sec.gov/Archives/edgar/data/320193/000032019323000106/" TargetMode="External"/><Relationship Id="rId351" Type="http://schemas.openxmlformats.org/officeDocument/2006/relationships/hyperlink" Target="https://www.sec.gov/Archives/edgar/data/320193/000032019324000006/" TargetMode="External"/><Relationship Id="rId352" Type="http://schemas.openxmlformats.org/officeDocument/2006/relationships/hyperlink" Target="https://www.sec.gov/Archives/edgar/data/320193/000032019323000064/" TargetMode="External"/><Relationship Id="rId353" Type="http://schemas.openxmlformats.org/officeDocument/2006/relationships/hyperlink" Target="https://www.sec.gov/Archives/edgar/data/320193/000032019323000077/" TargetMode="External"/><Relationship Id="rId354" Type="http://schemas.openxmlformats.org/officeDocument/2006/relationships/hyperlink" Target="https://www.sec.gov/Archives/edgar/data/320193/000032019324000123/" TargetMode="External"/><Relationship Id="rId355" Type="http://schemas.openxmlformats.org/officeDocument/2006/relationships/hyperlink" Target="https://www.sec.gov/Archives/edgar/data/320193/000032019325000008/" TargetMode="External"/><Relationship Id="rId356" Type="http://schemas.openxmlformats.org/officeDocument/2006/relationships/hyperlink" Target="https://www.sec.gov/Archives/edgar/data/320193/000032019324000069/" TargetMode="External"/><Relationship Id="rId357" Type="http://schemas.openxmlformats.org/officeDocument/2006/relationships/hyperlink" Target="https://www.sec.gov/Archives/edgar/data/320193/000032019324000081/" TargetMode="External"/><Relationship Id="rId358" Type="http://schemas.openxmlformats.org/officeDocument/2006/relationships/hyperlink" Target="https://www.sec.gov/Archives/edgar/data/320193/000032019325000079/" TargetMode="External"/><Relationship Id="rId359" Type="http://schemas.openxmlformats.org/officeDocument/2006/relationships/hyperlink" Target="https://www.sec.gov/Archives/edgar/data/320193/000032019326000006/" TargetMode="External"/><Relationship Id="rId360" Type="http://schemas.openxmlformats.org/officeDocument/2006/relationships/hyperlink" Target="https://www.sec.gov/Archives/edgar/data/320193/000032019325000057/" TargetMode="External"/><Relationship Id="rId361" Type="http://schemas.openxmlformats.org/officeDocument/2006/relationships/hyperlink" Target="https://www.sec.gov/Archives/edgar/data/320193/000032019325000073/" TargetMode="External"/><Relationship Id="rId362" Type="http://schemas.openxmlformats.org/officeDocument/2006/relationships/hyperlink" Target="https://www.sec.gov/Archives/edgar/data/320193/000032019325000079/" TargetMode="External"/><Relationship Id="rId363" Type="http://schemas.openxmlformats.org/officeDocument/2006/relationships/hyperlink" Target="https://www.sec.gov/Archives/edgar/data/320193/000032019326000006/" TargetMode="External"/><Relationship Id="rId364" Type="http://schemas.openxmlformats.org/officeDocument/2006/relationships/hyperlink" Target="https://www.sec.gov/Archives/edgar/data/320193/000032019326000013/" TargetMode="External"/><Relationship Id="rId365" Type="http://schemas.openxmlformats.org/officeDocument/2006/relationships/hyperlink" Target="https://www.sec.gov/Archives/edgar/data/320193/000032019326000020/" TargetMode="External"/><Relationship Id="rId366" Type="http://schemas.openxmlformats.org/officeDocument/2006/relationships/hyperlink" Target="https://www.sec.gov/Archives/edgar/data/320193/000032019325000079/" TargetMode="External"/><Relationship Id="rId367" Type="http://schemas.openxmlformats.org/officeDocument/2006/relationships/hyperlink" Target="https://www.sec.gov/Archives/edgar/data/320193/000032019326000013/" TargetMode="External"/><Relationship Id="rId368" Type="http://schemas.openxmlformats.org/officeDocument/2006/relationships/hyperlink" Target="https://www.sec.gov/Archives/edgar/data/1551182/000155118221000120/" TargetMode="External"/><Relationship Id="rId369" Type="http://schemas.openxmlformats.org/officeDocument/2006/relationships/hyperlink" Target="https://www.sec.gov/Archives/edgar/data/1551182/000155118221000161/" TargetMode="External"/><Relationship Id="rId370" Type="http://schemas.openxmlformats.org/officeDocument/2006/relationships/hyperlink" Target="https://www.sec.gov/Archives/edgar/data/1551182/000155118221000184/" TargetMode="External"/><Relationship Id="rId371" Type="http://schemas.openxmlformats.org/officeDocument/2006/relationships/hyperlink" Target="https://www.sec.gov/Archives/edgar/data/1551182/000155118223000004/" TargetMode="External"/><Relationship Id="rId372" Type="http://schemas.openxmlformats.org/officeDocument/2006/relationships/hyperlink" Target="https://www.sec.gov/Archives/edgar/data/1551182/000155118222000008/" TargetMode="External"/><Relationship Id="rId373" Type="http://schemas.openxmlformats.org/officeDocument/2006/relationships/hyperlink" Target="https://www.sec.gov/Archives/edgar/data/1551182/000155118222000020/" TargetMode="External"/><Relationship Id="rId374" Type="http://schemas.openxmlformats.org/officeDocument/2006/relationships/hyperlink" Target="https://www.sec.gov/Archives/edgar/data/1551182/000155118222000024/" TargetMode="External"/><Relationship Id="rId375" Type="http://schemas.openxmlformats.org/officeDocument/2006/relationships/hyperlink" Target="https://www.sec.gov/Archives/edgar/data/1551182/000155118224000006/" TargetMode="External"/><Relationship Id="rId376" Type="http://schemas.openxmlformats.org/officeDocument/2006/relationships/hyperlink" Target="https://www.sec.gov/Archives/edgar/data/1551182/000155118223000008/" TargetMode="External"/><Relationship Id="rId377" Type="http://schemas.openxmlformats.org/officeDocument/2006/relationships/hyperlink" Target="https://www.sec.gov/Archives/edgar/data/1551182/000155118223000024/" TargetMode="External"/><Relationship Id="rId378" Type="http://schemas.openxmlformats.org/officeDocument/2006/relationships/hyperlink" Target="https://www.sec.gov/Archives/edgar/data/1551182/000155118223000029/" TargetMode="External"/><Relationship Id="rId379" Type="http://schemas.openxmlformats.org/officeDocument/2006/relationships/hyperlink" Target="https://www.sec.gov/Archives/edgar/data/1551182/000155118225000006/" TargetMode="External"/><Relationship Id="rId380" Type="http://schemas.openxmlformats.org/officeDocument/2006/relationships/hyperlink" Target="https://www.sec.gov/Archives/edgar/data/1551182/000155118224000013/" TargetMode="External"/><Relationship Id="rId381" Type="http://schemas.openxmlformats.org/officeDocument/2006/relationships/hyperlink" Target="https://www.sec.gov/Archives/edgar/data/1551182/000155118224000035/" TargetMode="External"/><Relationship Id="rId382" Type="http://schemas.openxmlformats.org/officeDocument/2006/relationships/hyperlink" Target="https://www.sec.gov/Archives/edgar/data/1551182/000155118224000041/" TargetMode="External"/><Relationship Id="rId383" Type="http://schemas.openxmlformats.org/officeDocument/2006/relationships/hyperlink" Target="https://www.sec.gov/Archives/edgar/data/1551182/000155118226000007/" TargetMode="External"/><Relationship Id="rId384" Type="http://schemas.openxmlformats.org/officeDocument/2006/relationships/hyperlink" Target="https://www.sec.gov/Archives/edgar/data/1551182/000155118225000014/" TargetMode="External"/><Relationship Id="rId385" Type="http://schemas.openxmlformats.org/officeDocument/2006/relationships/hyperlink" Target="https://www.sec.gov/Archives/edgar/data/1551182/000155118225000028/" TargetMode="External"/><Relationship Id="rId386" Type="http://schemas.openxmlformats.org/officeDocument/2006/relationships/hyperlink" Target="https://www.sec.gov/Archives/edgar/data/1551182/000155118225000036/" TargetMode="External"/><Relationship Id="rId387" Type="http://schemas.openxmlformats.org/officeDocument/2006/relationships/hyperlink" Target="https://www.sec.gov/Archives/edgar/data/1551182/000155118226000007/" TargetMode="External"/><Relationship Id="rId388" Type="http://schemas.openxmlformats.org/officeDocument/2006/relationships/hyperlink" Target="https://www.sec.gov/Archives/edgar/data/1551182/000155118226000013/" TargetMode="External"/><Relationship Id="rId389" Type="http://schemas.openxmlformats.org/officeDocument/2006/relationships/hyperlink" Target="https://www.sec.gov/Archives/edgar/data/1551182/000155118226000030/" TargetMode="External"/><Relationship Id="rId390" Type="http://schemas.openxmlformats.org/officeDocument/2006/relationships/hyperlink" Target="https://www.sec.gov/Archives/edgar/data/1551182/000155118225000036/" TargetMode="External"/><Relationship Id="rId391" Type="http://schemas.openxmlformats.org/officeDocument/2006/relationships/hyperlink" Target="https://www.sec.gov/Archives/edgar/data/1551182/000155118226000007/" TargetMode="External"/><Relationship Id="rId392" Type="http://schemas.openxmlformats.org/officeDocument/2006/relationships/hyperlink" Target="https://www.sec.gov/Archives/edgar/data/1551182/000155118226000013/" TargetMode="External"/><Relationship Id="rId393" Type="http://schemas.openxmlformats.org/officeDocument/2006/relationships/hyperlink" Target="https://www.sec.gov/Archives/edgar/data/1551182/000155118226000030/" TargetMode="External"/><Relationship Id="rId394" Type="http://schemas.openxmlformats.org/officeDocument/2006/relationships/hyperlink" Target="https://www.sec.gov/Archives/edgar/data/1996810/000199681024000008/" TargetMode="External"/><Relationship Id="rId395" Type="http://schemas.openxmlformats.org/officeDocument/2006/relationships/hyperlink" Target="https://www.sec.gov/Archives/edgar/data/1996810/000199681024000067/" TargetMode="External"/><Relationship Id="rId396" Type="http://schemas.openxmlformats.org/officeDocument/2006/relationships/hyperlink" Target="https://www.sec.gov/Archives/edgar/data/1996810/000199681024000083/" TargetMode="External"/><Relationship Id="rId397" Type="http://schemas.openxmlformats.org/officeDocument/2006/relationships/hyperlink" Target="https://www.sec.gov/Archives/edgar/data/1996810/000199681026000015/" TargetMode="External"/><Relationship Id="rId398" Type="http://schemas.openxmlformats.org/officeDocument/2006/relationships/hyperlink" Target="https://www.sec.gov/Archives/edgar/data/1996810/000199681025000073/" TargetMode="External"/><Relationship Id="rId399" Type="http://schemas.openxmlformats.org/officeDocument/2006/relationships/hyperlink" Target="https://www.sec.gov/Archives/edgar/data/1996810/000199681025000133/" TargetMode="External"/><Relationship Id="rId400" Type="http://schemas.openxmlformats.org/officeDocument/2006/relationships/hyperlink" Target="https://www.sec.gov/Archives/edgar/data/1996810/000199681025000160/" TargetMode="External"/><Relationship Id="rId401" Type="http://schemas.openxmlformats.org/officeDocument/2006/relationships/hyperlink" Target="https://www.sec.gov/Archives/edgar/data/1996810/000199681026000015/" TargetMode="External"/><Relationship Id="rId402" Type="http://schemas.openxmlformats.org/officeDocument/2006/relationships/hyperlink" Target="https://www.sec.gov/Archives/edgar/data/1996810/000199681026000064/" TargetMode="External"/><Relationship Id="rId403" Type="http://schemas.openxmlformats.org/officeDocument/2006/relationships/hyperlink" Target="https://www.sec.gov/Archives/edgar/data/1996810/000199681026000148/" TargetMode="External"/><Relationship Id="rId404" Type="http://schemas.openxmlformats.org/officeDocument/2006/relationships/hyperlink" Target="https://www.sec.gov/Archives/edgar/data/1996810/000199681025000160/" TargetMode="External"/><Relationship Id="rId405" Type="http://schemas.openxmlformats.org/officeDocument/2006/relationships/hyperlink" Target="https://www.sec.gov/Archives/edgar/data/1996810/000199681026000015/" TargetMode="External"/><Relationship Id="rId406" Type="http://schemas.openxmlformats.org/officeDocument/2006/relationships/hyperlink" Target="https://www.sec.gov/Archives/edgar/data/1996810/000199681026000064/" TargetMode="External"/><Relationship Id="rId407" Type="http://schemas.openxmlformats.org/officeDocument/2006/relationships/hyperlink" Target="https://www.sec.gov/Archives/edgar/data/1996810/000199681026000148/" TargetMode="External"/><Relationship Id="rId408" Type="http://schemas.openxmlformats.org/officeDocument/2006/relationships/hyperlink" Target="https://www.sec.gov/Archives/edgar/data/1674101/000162828021008627/" TargetMode="External"/><Relationship Id="rId409" Type="http://schemas.openxmlformats.org/officeDocument/2006/relationships/hyperlink" Target="https://www.sec.gov/Archives/edgar/data/1674101/000162828021015172/" TargetMode="External"/><Relationship Id="rId410" Type="http://schemas.openxmlformats.org/officeDocument/2006/relationships/hyperlink" Target="https://www.sec.gov/Archives/edgar/data/1674101/000162828021020992/" TargetMode="External"/><Relationship Id="rId411" Type="http://schemas.openxmlformats.org/officeDocument/2006/relationships/hyperlink" Target="https://www.sec.gov/Archives/edgar/data/1674101/000162828023005248/" TargetMode="External"/><Relationship Id="rId412" Type="http://schemas.openxmlformats.org/officeDocument/2006/relationships/hyperlink" Target="https://www.sec.gov/Archives/edgar/data/1674101/000162828022011733/" TargetMode="External"/><Relationship Id="rId413" Type="http://schemas.openxmlformats.org/officeDocument/2006/relationships/hyperlink" Target="https://www.sec.gov/Archives/edgar/data/1674101/000162828022020322/" TargetMode="External"/><Relationship Id="rId414" Type="http://schemas.openxmlformats.org/officeDocument/2006/relationships/hyperlink" Target="https://www.sec.gov/Archives/edgar/data/1674101/000162828022027344/" TargetMode="External"/><Relationship Id="rId415" Type="http://schemas.openxmlformats.org/officeDocument/2006/relationships/hyperlink" Target="https://www.sec.gov/Archives/edgar/data/1674101/000162828024006498/" TargetMode="External"/><Relationship Id="rId416" Type="http://schemas.openxmlformats.org/officeDocument/2006/relationships/hyperlink" Target="https://www.sec.gov/Archives/edgar/data/1674101/000162828023013730/" TargetMode="External"/><Relationship Id="rId417" Type="http://schemas.openxmlformats.org/officeDocument/2006/relationships/hyperlink" Target="https://www.sec.gov/Archives/edgar/data/1674101/000162828023026777/" TargetMode="External"/><Relationship Id="rId418" Type="http://schemas.openxmlformats.org/officeDocument/2006/relationships/hyperlink" Target="https://www.sec.gov/Archives/edgar/data/1674101/000162828023035351/" TargetMode="External"/><Relationship Id="rId419" Type="http://schemas.openxmlformats.org/officeDocument/2006/relationships/hyperlink" Target="https://www.sec.gov/Archives/edgar/data/1674101/000162828025005905/" TargetMode="External"/><Relationship Id="rId420" Type="http://schemas.openxmlformats.org/officeDocument/2006/relationships/hyperlink" Target="https://www.sec.gov/Archives/edgar/data/1674101/000162828024018417/" TargetMode="External"/><Relationship Id="rId421" Type="http://schemas.openxmlformats.org/officeDocument/2006/relationships/hyperlink" Target="https://www.sec.gov/Archives/edgar/data/1674101/000162828024033173/" TargetMode="External"/><Relationship Id="rId422" Type="http://schemas.openxmlformats.org/officeDocument/2006/relationships/hyperlink" Target="https://www.sec.gov/Archives/edgar/data/1674101/000162828024043698/" TargetMode="External"/><Relationship Id="rId423" Type="http://schemas.openxmlformats.org/officeDocument/2006/relationships/hyperlink" Target="https://www.sec.gov/Archives/edgar/data/1674101/000167410126000008/" TargetMode="External"/><Relationship Id="rId424" Type="http://schemas.openxmlformats.org/officeDocument/2006/relationships/hyperlink" Target="https://www.sec.gov/Archives/edgar/data/1674101/000162828025019372/" TargetMode="External"/><Relationship Id="rId425" Type="http://schemas.openxmlformats.org/officeDocument/2006/relationships/hyperlink" Target="https://www.sec.gov/Archives/edgar/data/1674101/000167410125000008/" TargetMode="External"/><Relationship Id="rId426" Type="http://schemas.openxmlformats.org/officeDocument/2006/relationships/hyperlink" Target="https://www.sec.gov/Archives/edgar/data/1674101/000167410125000024/" TargetMode="External"/><Relationship Id="rId427" Type="http://schemas.openxmlformats.org/officeDocument/2006/relationships/hyperlink" Target="https://www.sec.gov/Archives/edgar/data/1674101/000167410126000008/" TargetMode="External"/><Relationship Id="rId428" Type="http://schemas.openxmlformats.org/officeDocument/2006/relationships/hyperlink" Target="https://www.sec.gov/Archives/edgar/data/1674101/000162828026026556/" TargetMode="External"/><Relationship Id="rId429" Type="http://schemas.openxmlformats.org/officeDocument/2006/relationships/hyperlink" Target="https://www.sec.gov/Archives/edgar/data/1674101/000162828026050609/" TargetMode="External"/><Relationship Id="rId430" Type="http://schemas.openxmlformats.org/officeDocument/2006/relationships/hyperlink" Target="https://www.sec.gov/Archives/edgar/data/1674101/000167410125000024/" TargetMode="External"/><Relationship Id="rId431" Type="http://schemas.openxmlformats.org/officeDocument/2006/relationships/hyperlink" Target="https://www.sec.gov/Archives/edgar/data/1674101/000167410126000008/" TargetMode="External"/><Relationship Id="rId432" Type="http://schemas.openxmlformats.org/officeDocument/2006/relationships/hyperlink" Target="https://www.sec.gov/Archives/edgar/data/1674101/000162828026026556/" TargetMode="External"/><Relationship Id="rId433" Type="http://schemas.openxmlformats.org/officeDocument/2006/relationships/hyperlink" Target="https://www.sec.gov/Archives/edgar/data/1674101/000162828026050609/" TargetMode="External"/><Relationship Id="rId434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sl4.eir-parts.net/doc/285A/tdnet/2859905/00.pdf" TargetMode="External"/><Relationship Id="rId2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7365D"/>
  </sheetPr>
  <dimension ref="A1:H19"/>
  <sheetViews>
    <sheetView showGridLines="0" tabSelected="1" workbookViewId="0">
      <pane ySplit="3" topLeftCell="A4" activePane="bottomLeft" state="frozen"/>
      <selection pane="bottomLeft"/>
    </sheetView>
  </sheetViews>
  <sheetFormatPr defaultRowHeight="15"/>
  <cols>
    <col min="1" max="1" width="18.7109375" customWidth="1"/>
    <col min="2" max="3" width="13.7109375" customWidth="1"/>
    <col min="4" max="4" width="3.7109375" customWidth="1"/>
    <col min="5" max="5" width="18.7109375" customWidth="1"/>
    <col min="6" max="8" width="13.7109375" customWidth="1"/>
  </cols>
  <sheetData>
    <row r="1" spans="1:8" ht="3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3" t="s">
        <v>2</v>
      </c>
      <c r="B4" s="3"/>
      <c r="C4" s="3"/>
      <c r="D4" s="3"/>
      <c r="E4" s="3"/>
      <c r="F4" s="3"/>
      <c r="G4" s="3"/>
      <c r="H4" s="3"/>
    </row>
    <row r="6" spans="1:8">
      <c r="A6" s="4" t="s">
        <v>3</v>
      </c>
      <c r="C6" s="4" t="s">
        <v>4</v>
      </c>
      <c r="E6" s="4" t="s">
        <v>5</v>
      </c>
      <c r="G6" s="4" t="s">
        <v>6</v>
      </c>
    </row>
    <row r="7" spans="1:8">
      <c r="A7" s="5">
        <v>642</v>
      </c>
      <c r="C7" s="5">
        <v>625</v>
      </c>
      <c r="E7" s="5">
        <v>17</v>
      </c>
      <c r="G7" s="5">
        <v>28</v>
      </c>
    </row>
    <row r="9" spans="1:8">
      <c r="A9" s="6" t="s">
        <v>7</v>
      </c>
      <c r="B9" s="6" t="s">
        <v>8</v>
      </c>
      <c r="C9" s="6" t="s">
        <v>9</v>
      </c>
      <c r="E9" s="6" t="s">
        <v>13</v>
      </c>
      <c r="F9" s="6" t="s">
        <v>8</v>
      </c>
    </row>
    <row r="10" spans="1:8">
      <c r="A10" t="s">
        <v>10</v>
      </c>
      <c r="B10" s="5">
        <f>COUNTIF('전체 실적'!I2:I405,0)</f>
        <v>625</v>
      </c>
      <c r="C10" s="7">
        <f>B10/B12</f>
        <v>0.9735202492211839</v>
      </c>
      <c r="E10" t="s">
        <v>14</v>
      </c>
      <c r="F10" s="5">
        <f>COUNTIF('전체 실적'!N2:N405,E10)</f>
        <v>590</v>
      </c>
    </row>
    <row r="11" spans="1:8">
      <c r="A11" t="s">
        <v>11</v>
      </c>
      <c r="B11" s="5">
        <f>COUNTIF('전체 실적'!I2:I405,1)</f>
        <v>17</v>
      </c>
      <c r="C11" s="7">
        <f>B11/B12</f>
        <v>0.0264797507788162</v>
      </c>
      <c r="E11" t="s">
        <v>15</v>
      </c>
      <c r="F11" s="5">
        <f>COUNTIF('전체 실적'!N2:N405,E11)</f>
        <v>52</v>
      </c>
    </row>
    <row r="12" spans="1:8">
      <c r="A12" t="s">
        <v>12</v>
      </c>
      <c r="B12" s="5">
        <f>SUM(B10:B11)</f>
        <v>642</v>
      </c>
      <c r="C12" s="7">
        <f>SUM(C10:C11)</f>
        <v>1</v>
      </c>
    </row>
    <row r="15" spans="1:8">
      <c r="A15" s="3" t="s">
        <v>16</v>
      </c>
      <c r="B15" s="3"/>
      <c r="C15" s="3"/>
      <c r="D15" s="3"/>
      <c r="E15" s="3"/>
      <c r="F15" s="3"/>
      <c r="G15" s="3"/>
      <c r="H15" s="3"/>
    </row>
    <row r="16" spans="1:8">
      <c r="A16" s="8" t="s">
        <v>17</v>
      </c>
      <c r="B16" s="8"/>
      <c r="C16" s="8"/>
      <c r="D16" s="8"/>
      <c r="E16" s="8"/>
      <c r="F16" s="8"/>
      <c r="G16" s="8"/>
      <c r="H16" s="8"/>
    </row>
    <row r="17" spans="1:8">
      <c r="A17" s="8" t="s">
        <v>18</v>
      </c>
      <c r="B17" s="8"/>
      <c r="C17" s="8"/>
      <c r="D17" s="8"/>
      <c r="E17" s="8"/>
      <c r="F17" s="8"/>
      <c r="G17" s="8"/>
      <c r="H17" s="8"/>
    </row>
    <row r="18" spans="1:8">
      <c r="A18" s="8" t="s">
        <v>19</v>
      </c>
      <c r="B18" s="8"/>
      <c r="C18" s="8"/>
      <c r="D18" s="8"/>
      <c r="E18" s="8"/>
      <c r="F18" s="8"/>
      <c r="G18" s="8"/>
      <c r="H18" s="8"/>
    </row>
    <row r="19" spans="1:8">
      <c r="A19" s="8" t="s">
        <v>20</v>
      </c>
      <c r="B19" s="8"/>
      <c r="C19" s="8"/>
      <c r="D19" s="8"/>
      <c r="E19" s="8"/>
      <c r="F19" s="8"/>
      <c r="G19" s="8"/>
      <c r="H19" s="8"/>
    </row>
  </sheetData>
  <mergeCells count="8">
    <mergeCell ref="A1:H1"/>
    <mergeCell ref="A2:H2"/>
    <mergeCell ref="A4:H4"/>
    <mergeCell ref="A15:H15"/>
    <mergeCell ref="A16:H16"/>
    <mergeCell ref="A17:H17"/>
    <mergeCell ref="A18:H18"/>
    <mergeCell ref="A19:H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7365D"/>
  </sheetPr>
  <dimension ref="A1:Z643"/>
  <sheetViews>
    <sheetView showGridLines="0"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/>
  <cols>
    <col min="1" max="1" width="8.7109375" customWidth="1"/>
    <col min="2" max="2" width="17.7109375" customWidth="1"/>
    <col min="3" max="3" width="16.7109375" customWidth="1"/>
    <col min="4" max="4" width="19.7109375" customWidth="1"/>
    <col min="5" max="5" width="18.7109375" customWidth="1"/>
    <col min="6" max="6" width="12.7109375" customWidth="1"/>
    <col min="7" max="7" width="11.7109375" customWidth="1"/>
    <col min="8" max="8" width="8.7109375" customWidth="1"/>
    <col min="9" max="9" width="11.7109375" customWidth="1"/>
    <col min="10" max="10" width="12.7109375" customWidth="1"/>
    <col min="11" max="13" width="14.7109375" style="9" customWidth="1"/>
    <col min="14" max="14" width="10.7109375" customWidth="1"/>
    <col min="15" max="15" width="12.7109375" style="9" customWidth="1"/>
    <col min="16" max="16" width="14.7109375" style="9" customWidth="1"/>
    <col min="17" max="17" width="16.7109375" style="9" customWidth="1"/>
    <col min="18" max="18" width="14.7109375" customWidth="1"/>
    <col min="19" max="20" width="16.7109375" style="7" customWidth="1"/>
    <col min="21" max="21" width="14.7109375" style="9" customWidth="1"/>
    <col min="22" max="25" width="9.140625" style="10"/>
    <col min="26" max="26" width="20.7109375" customWidth="1"/>
  </cols>
  <sheetData>
    <row r="1" spans="1:26" ht="32" customHeight="1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7</v>
      </c>
      <c r="I1" s="6" t="s">
        <v>28</v>
      </c>
      <c r="J1" s="6" t="s">
        <v>29</v>
      </c>
      <c r="K1" s="6" t="s">
        <v>30</v>
      </c>
      <c r="L1" s="6" t="s">
        <v>31</v>
      </c>
      <c r="M1" s="6" t="s">
        <v>32</v>
      </c>
      <c r="N1" s="6" t="s">
        <v>13</v>
      </c>
      <c r="O1" s="6" t="s">
        <v>33</v>
      </c>
      <c r="P1" s="6" t="s">
        <v>34</v>
      </c>
      <c r="Q1" s="6" t="s">
        <v>35</v>
      </c>
      <c r="R1" s="6" t="s">
        <v>36</v>
      </c>
      <c r="S1" s="6" t="s">
        <v>37</v>
      </c>
      <c r="T1" s="6" t="s">
        <v>38</v>
      </c>
      <c r="U1" s="6" t="s">
        <v>39</v>
      </c>
      <c r="V1" s="6" t="s">
        <v>40</v>
      </c>
      <c r="W1" s="6" t="s">
        <v>41</v>
      </c>
      <c r="X1" s="6" t="s">
        <v>42</v>
      </c>
      <c r="Y1" s="6" t="s">
        <v>43</v>
      </c>
      <c r="Z1" s="6" t="s">
        <v>44</v>
      </c>
    </row>
    <row r="2" spans="1:26">
      <c r="A2">
        <v>183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10</v>
      </c>
      <c r="I2">
        <v>0</v>
      </c>
      <c r="J2" t="s">
        <v>51</v>
      </c>
      <c r="K2" s="9">
        <v>75.45</v>
      </c>
      <c r="L2" s="9">
        <v>3.99</v>
      </c>
      <c r="M2" s="9">
        <v>2.54</v>
      </c>
      <c r="N2" t="s">
        <v>14</v>
      </c>
      <c r="O2" s="9">
        <v>5.01</v>
      </c>
      <c r="P2" s="9">
        <v>6.25</v>
      </c>
      <c r="Q2" s="9">
        <v>73.5</v>
      </c>
      <c r="R2" t="s">
        <v>52</v>
      </c>
      <c r="S2" s="7">
        <v>41.9</v>
      </c>
      <c r="V2" s="10" t="s">
        <v>53</v>
      </c>
      <c r="X2" s="10" t="s">
        <v>54</v>
      </c>
      <c r="Y2" s="10" t="s">
        <v>55</v>
      </c>
      <c r="Z2" t="s">
        <v>56</v>
      </c>
    </row>
    <row r="3" spans="1:26">
      <c r="A3">
        <v>184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57</v>
      </c>
      <c r="H3" t="s">
        <v>10</v>
      </c>
      <c r="I3">
        <v>0</v>
      </c>
      <c r="J3" t="s">
        <v>58</v>
      </c>
      <c r="K3" s="9">
        <v>88.91</v>
      </c>
      <c r="L3" s="9">
        <v>5.84</v>
      </c>
      <c r="M3" s="9">
        <v>5.24</v>
      </c>
      <c r="N3" t="s">
        <v>14</v>
      </c>
      <c r="O3" s="9">
        <v>10.3</v>
      </c>
      <c r="P3" s="9">
        <v>1.46</v>
      </c>
      <c r="Q3" s="9">
        <v>81.5</v>
      </c>
      <c r="R3" t="s">
        <v>59</v>
      </c>
      <c r="S3" s="7">
        <v>41</v>
      </c>
      <c r="V3" s="10" t="s">
        <v>53</v>
      </c>
      <c r="X3" s="10" t="s">
        <v>60</v>
      </c>
      <c r="Y3" s="10" t="s">
        <v>61</v>
      </c>
      <c r="Z3" t="s">
        <v>56</v>
      </c>
    </row>
    <row r="4" spans="1:26">
      <c r="A4">
        <v>185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62</v>
      </c>
      <c r="H4" t="s">
        <v>10</v>
      </c>
      <c r="I4">
        <v>0</v>
      </c>
      <c r="J4" t="s">
        <v>63</v>
      </c>
      <c r="K4" s="9">
        <v>96.15000000000001</v>
      </c>
      <c r="L4" s="9">
        <v>6.19</v>
      </c>
      <c r="M4" s="9">
        <v>6.33</v>
      </c>
      <c r="N4" t="s">
        <v>14</v>
      </c>
      <c r="O4" s="9">
        <v>12.37</v>
      </c>
      <c r="P4" s="9">
        <v>7.41</v>
      </c>
      <c r="Q4" s="9">
        <v>92.5</v>
      </c>
      <c r="R4" t="s">
        <v>59</v>
      </c>
      <c r="S4" s="7">
        <v>40.6</v>
      </c>
      <c r="V4" s="10" t="s">
        <v>53</v>
      </c>
      <c r="X4" s="10" t="s">
        <v>64</v>
      </c>
      <c r="Y4" s="10" t="s">
        <v>65</v>
      </c>
      <c r="Z4" t="s">
        <v>56</v>
      </c>
    </row>
    <row r="5" spans="1:26">
      <c r="A5">
        <v>186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66</v>
      </c>
      <c r="H5" t="s">
        <v>10</v>
      </c>
      <c r="I5">
        <v>0</v>
      </c>
      <c r="J5" t="s">
        <v>67</v>
      </c>
      <c r="K5" s="9">
        <v>125.56</v>
      </c>
      <c r="L5" s="9">
        <v>6.87</v>
      </c>
      <c r="M5" s="9">
        <v>7.22</v>
      </c>
      <c r="N5" t="s">
        <v>14</v>
      </c>
      <c r="O5" s="9">
        <v>14.09</v>
      </c>
      <c r="P5" s="9">
        <v>7.34</v>
      </c>
      <c r="Q5" s="9">
        <v>119.7</v>
      </c>
      <c r="R5" t="s">
        <v>59</v>
      </c>
      <c r="S5" s="7">
        <v>37.7</v>
      </c>
      <c r="V5" s="10" t="s">
        <v>68</v>
      </c>
      <c r="X5" s="10" t="s">
        <v>69</v>
      </c>
      <c r="Y5" s="10" t="s">
        <v>70</v>
      </c>
      <c r="Z5" t="s">
        <v>56</v>
      </c>
    </row>
    <row r="6" spans="1:26">
      <c r="A6">
        <v>187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71</v>
      </c>
      <c r="H6" t="s">
        <v>10</v>
      </c>
      <c r="I6">
        <v>0</v>
      </c>
      <c r="J6" t="s">
        <v>72</v>
      </c>
      <c r="K6" s="9">
        <v>108.52</v>
      </c>
      <c r="L6" s="9">
        <v>8.869999999999999</v>
      </c>
      <c r="M6" s="9">
        <v>8.109999999999999</v>
      </c>
      <c r="N6" t="s">
        <v>14</v>
      </c>
      <c r="O6" s="9">
        <v>15.79</v>
      </c>
      <c r="P6" s="9">
        <v>9.539999999999999</v>
      </c>
      <c r="Q6" s="9">
        <v>104.5</v>
      </c>
      <c r="R6" t="s">
        <v>59</v>
      </c>
      <c r="S6" s="7">
        <v>42.5</v>
      </c>
      <c r="V6" s="10" t="s">
        <v>53</v>
      </c>
      <c r="X6" s="10" t="s">
        <v>73</v>
      </c>
      <c r="Y6" s="10" t="s">
        <v>74</v>
      </c>
      <c r="Z6" t="s">
        <v>56</v>
      </c>
    </row>
    <row r="7" spans="1:26">
      <c r="A7">
        <v>188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75</v>
      </c>
      <c r="H7" t="s">
        <v>10</v>
      </c>
      <c r="I7">
        <v>0</v>
      </c>
      <c r="J7" t="s">
        <v>76</v>
      </c>
      <c r="K7" s="9">
        <v>113.08</v>
      </c>
      <c r="L7" s="9">
        <v>7.68</v>
      </c>
      <c r="M7" s="9">
        <v>7.78</v>
      </c>
      <c r="N7" t="s">
        <v>14</v>
      </c>
      <c r="O7" s="9">
        <v>15.12</v>
      </c>
      <c r="P7" s="9">
        <v>12.3</v>
      </c>
      <c r="Q7" s="9">
        <v>115</v>
      </c>
      <c r="R7" t="s">
        <v>52</v>
      </c>
      <c r="S7" s="7">
        <v>43.3</v>
      </c>
      <c r="V7" s="10" t="s">
        <v>77</v>
      </c>
      <c r="X7" s="10" t="s">
        <v>78</v>
      </c>
      <c r="Y7" s="10" t="s">
        <v>79</v>
      </c>
      <c r="Z7" t="s">
        <v>56</v>
      </c>
    </row>
    <row r="8" spans="1:26">
      <c r="A8">
        <v>189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80</v>
      </c>
      <c r="H8" t="s">
        <v>10</v>
      </c>
      <c r="I8">
        <v>0</v>
      </c>
      <c r="J8" t="s">
        <v>81</v>
      </c>
      <c r="K8" s="9">
        <v>110.81</v>
      </c>
      <c r="L8" s="9">
        <v>4.85</v>
      </c>
      <c r="M8" s="9">
        <v>3.16</v>
      </c>
      <c r="N8" t="s">
        <v>14</v>
      </c>
      <c r="O8" s="9">
        <v>6.12</v>
      </c>
      <c r="P8" s="9">
        <v>8.92</v>
      </c>
      <c r="Q8" s="9">
        <v>111.5</v>
      </c>
      <c r="R8" t="s">
        <v>52</v>
      </c>
      <c r="S8" s="7">
        <v>43.3</v>
      </c>
      <c r="V8" s="10" t="s">
        <v>82</v>
      </c>
      <c r="X8" s="10" t="s">
        <v>83</v>
      </c>
      <c r="Y8" s="10" t="s">
        <v>84</v>
      </c>
      <c r="Z8" t="s">
        <v>56</v>
      </c>
    </row>
    <row r="9" spans="1:26">
      <c r="A9">
        <v>190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85</v>
      </c>
      <c r="H9" t="s">
        <v>10</v>
      </c>
      <c r="I9">
        <v>0</v>
      </c>
      <c r="J9" t="s">
        <v>86</v>
      </c>
      <c r="K9" s="9">
        <v>137.41</v>
      </c>
      <c r="L9" s="9">
        <v>3.46</v>
      </c>
      <c r="M9" s="9">
        <v>14.32</v>
      </c>
      <c r="N9" t="s">
        <v>14</v>
      </c>
      <c r="O9" s="9">
        <v>27.75</v>
      </c>
      <c r="P9" s="9">
        <v>3.77</v>
      </c>
      <c r="Q9" s="9">
        <v>137.5</v>
      </c>
      <c r="R9" t="s">
        <v>59</v>
      </c>
      <c r="S9" s="7">
        <v>39.5</v>
      </c>
      <c r="V9" s="10" t="s">
        <v>77</v>
      </c>
      <c r="X9" s="10" t="s">
        <v>87</v>
      </c>
      <c r="Y9" s="10" t="s">
        <v>88</v>
      </c>
      <c r="Z9" t="s">
        <v>56</v>
      </c>
    </row>
    <row r="10" spans="1:26">
      <c r="A10">
        <v>191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89</v>
      </c>
      <c r="H10" t="s">
        <v>10</v>
      </c>
      <c r="I10">
        <v>0</v>
      </c>
      <c r="J10" t="s">
        <v>90</v>
      </c>
      <c r="K10" s="9">
        <v>116.44</v>
      </c>
      <c r="L10" s="9">
        <v>3.67</v>
      </c>
      <c r="M10" s="9">
        <v>-3.84</v>
      </c>
      <c r="N10" t="s">
        <v>14</v>
      </c>
      <c r="O10" s="9">
        <v>-0.38</v>
      </c>
      <c r="P10" s="9">
        <v>0.42</v>
      </c>
      <c r="Q10" s="9">
        <v>116</v>
      </c>
      <c r="R10" t="s">
        <v>52</v>
      </c>
      <c r="S10" s="7">
        <v>42.9</v>
      </c>
      <c r="V10" s="10" t="s">
        <v>82</v>
      </c>
      <c r="X10" s="10" t="s">
        <v>91</v>
      </c>
      <c r="Y10" s="10" t="s">
        <v>92</v>
      </c>
      <c r="Z10" t="s">
        <v>56</v>
      </c>
    </row>
    <row r="11" spans="1:26">
      <c r="A11">
        <v>192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93</v>
      </c>
      <c r="H11" t="s">
        <v>10</v>
      </c>
      <c r="I11">
        <v>0</v>
      </c>
      <c r="J11" t="s">
        <v>94</v>
      </c>
      <c r="K11" s="9">
        <v>121.23</v>
      </c>
      <c r="L11" s="9">
        <v>3.32</v>
      </c>
      <c r="M11" s="9">
        <v>-2.03</v>
      </c>
      <c r="N11" t="s">
        <v>14</v>
      </c>
      <c r="O11" s="9">
        <v>-0.2</v>
      </c>
      <c r="P11" s="9">
        <v>0.12</v>
      </c>
      <c r="Q11" s="9">
        <v>119.5</v>
      </c>
      <c r="R11" t="s">
        <v>52</v>
      </c>
      <c r="S11" s="7">
        <v>45.2</v>
      </c>
      <c r="V11" s="10" t="s">
        <v>95</v>
      </c>
      <c r="X11" s="10" t="s">
        <v>96</v>
      </c>
      <c r="Y11" s="10" t="s">
        <v>97</v>
      </c>
      <c r="Z11" t="s">
        <v>56</v>
      </c>
    </row>
    <row r="12" spans="1:26">
      <c r="A12">
        <v>193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98</v>
      </c>
      <c r="H12" t="s">
        <v>10</v>
      </c>
      <c r="I12">
        <v>0</v>
      </c>
      <c r="J12" t="s">
        <v>99</v>
      </c>
      <c r="K12" s="9">
        <v>127.1</v>
      </c>
      <c r="L12" s="9">
        <v>2.53</v>
      </c>
      <c r="M12" s="9">
        <v>2.87</v>
      </c>
      <c r="N12" t="s">
        <v>14</v>
      </c>
      <c r="O12" s="9">
        <v>0.28</v>
      </c>
      <c r="P12" s="9">
        <v>0.21</v>
      </c>
      <c r="Q12" s="9">
        <v>127.5</v>
      </c>
      <c r="R12" t="s">
        <v>100</v>
      </c>
      <c r="S12" s="7">
        <v>44.7</v>
      </c>
      <c r="V12" s="10" t="s">
        <v>95</v>
      </c>
      <c r="X12" s="10" t="s">
        <v>101</v>
      </c>
      <c r="Y12" s="10" t="s">
        <v>102</v>
      </c>
      <c r="Z12" t="s">
        <v>56</v>
      </c>
    </row>
    <row r="13" spans="1:26">
      <c r="A13">
        <v>194</v>
      </c>
      <c r="B13" t="s">
        <v>45</v>
      </c>
      <c r="C13" t="s">
        <v>46</v>
      </c>
      <c r="D13" t="s">
        <v>47</v>
      </c>
      <c r="E13" t="s">
        <v>48</v>
      </c>
      <c r="F13" t="s">
        <v>49</v>
      </c>
      <c r="G13" t="s">
        <v>103</v>
      </c>
      <c r="H13" t="s">
        <v>10</v>
      </c>
      <c r="I13">
        <v>0</v>
      </c>
      <c r="J13" t="s">
        <v>104</v>
      </c>
      <c r="K13" s="9">
        <v>149.2</v>
      </c>
      <c r="L13" s="9">
        <v>2.74</v>
      </c>
      <c r="M13" s="9">
        <v>0.28</v>
      </c>
      <c r="N13" t="s">
        <v>14</v>
      </c>
      <c r="O13" s="9">
        <v>0.03</v>
      </c>
      <c r="P13" s="9">
        <v>0.18</v>
      </c>
      <c r="Q13" s="9">
        <v>145.8</v>
      </c>
      <c r="R13" t="s">
        <v>52</v>
      </c>
      <c r="S13" s="7">
        <v>39.3</v>
      </c>
      <c r="V13" s="10" t="s">
        <v>82</v>
      </c>
      <c r="X13" s="10" t="s">
        <v>105</v>
      </c>
      <c r="Y13" s="10" t="s">
        <v>106</v>
      </c>
      <c r="Z13" t="s">
        <v>56</v>
      </c>
    </row>
    <row r="14" spans="1:26">
      <c r="A14">
        <v>195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107</v>
      </c>
      <c r="H14" t="s">
        <v>10</v>
      </c>
      <c r="I14">
        <v>0</v>
      </c>
      <c r="J14" t="s">
        <v>108</v>
      </c>
      <c r="K14" s="9">
        <v>127.36</v>
      </c>
      <c r="L14" s="9">
        <v>4.77</v>
      </c>
      <c r="M14" s="9">
        <v>3.17</v>
      </c>
      <c r="N14" t="s">
        <v>14</v>
      </c>
      <c r="O14" s="9">
        <v>0.31</v>
      </c>
      <c r="P14" s="9">
        <v>0.21</v>
      </c>
      <c r="Q14" s="9">
        <v>124.5</v>
      </c>
      <c r="R14" t="s">
        <v>59</v>
      </c>
      <c r="S14" s="7">
        <v>46.8</v>
      </c>
      <c r="V14" s="10" t="s">
        <v>109</v>
      </c>
      <c r="X14" s="10" t="s">
        <v>110</v>
      </c>
      <c r="Y14" s="10" t="s">
        <v>111</v>
      </c>
      <c r="Z14" t="s">
        <v>56</v>
      </c>
    </row>
    <row r="15" spans="1:26">
      <c r="A15">
        <v>196</v>
      </c>
      <c r="B15" t="s">
        <v>45</v>
      </c>
      <c r="C15" t="s">
        <v>46</v>
      </c>
      <c r="D15" t="s">
        <v>47</v>
      </c>
      <c r="E15" t="s">
        <v>48</v>
      </c>
      <c r="F15" t="s">
        <v>49</v>
      </c>
      <c r="G15" t="s">
        <v>112</v>
      </c>
      <c r="H15" t="s">
        <v>10</v>
      </c>
      <c r="I15">
        <v>0</v>
      </c>
      <c r="J15" t="s">
        <v>113</v>
      </c>
      <c r="K15" s="9">
        <v>134.38</v>
      </c>
      <c r="L15" s="9">
        <v>7.68</v>
      </c>
      <c r="M15" s="9">
        <v>6.75</v>
      </c>
      <c r="N15" t="s">
        <v>14</v>
      </c>
      <c r="O15" s="9">
        <v>0.65</v>
      </c>
      <c r="P15" s="9">
        <v>0.35</v>
      </c>
      <c r="Q15" s="9">
        <v>131.5</v>
      </c>
      <c r="R15" t="s">
        <v>59</v>
      </c>
      <c r="S15" s="7">
        <v>48.4</v>
      </c>
      <c r="V15" s="10" t="s">
        <v>95</v>
      </c>
      <c r="X15" s="10" t="s">
        <v>114</v>
      </c>
      <c r="Y15" s="10" t="s">
        <v>115</v>
      </c>
      <c r="Z15" t="s">
        <v>56</v>
      </c>
    </row>
    <row r="16" spans="1:26">
      <c r="A16">
        <v>197</v>
      </c>
      <c r="B16" t="s">
        <v>45</v>
      </c>
      <c r="C16" t="s">
        <v>46</v>
      </c>
      <c r="D16" t="s">
        <v>47</v>
      </c>
      <c r="E16" t="s">
        <v>48</v>
      </c>
      <c r="F16" t="s">
        <v>49</v>
      </c>
      <c r="G16" t="s">
        <v>116</v>
      </c>
      <c r="H16" t="s">
        <v>10</v>
      </c>
      <c r="I16">
        <v>0</v>
      </c>
      <c r="J16" t="s">
        <v>117</v>
      </c>
      <c r="K16" s="9">
        <v>143.08</v>
      </c>
      <c r="L16" s="9">
        <v>11.19</v>
      </c>
      <c r="M16" s="9">
        <v>9.880000000000001</v>
      </c>
      <c r="N16" t="s">
        <v>14</v>
      </c>
      <c r="O16" s="9">
        <v>0.9399999999999999</v>
      </c>
      <c r="P16" s="9">
        <v>0.58</v>
      </c>
      <c r="Q16" s="9">
        <v>141.5</v>
      </c>
      <c r="R16" t="s">
        <v>59</v>
      </c>
      <c r="S16" s="7">
        <v>48.9</v>
      </c>
      <c r="V16" s="10" t="s">
        <v>95</v>
      </c>
      <c r="X16" s="10" t="s">
        <v>118</v>
      </c>
      <c r="Y16" s="10" t="s">
        <v>119</v>
      </c>
      <c r="Z16" t="s">
        <v>56</v>
      </c>
    </row>
    <row r="17" spans="1:26">
      <c r="A17">
        <v>198</v>
      </c>
      <c r="B17" t="s">
        <v>45</v>
      </c>
      <c r="C17" t="s">
        <v>46</v>
      </c>
      <c r="D17" t="s">
        <v>47</v>
      </c>
      <c r="E17" t="s">
        <v>48</v>
      </c>
      <c r="F17" t="s">
        <v>49</v>
      </c>
      <c r="G17" t="s">
        <v>120</v>
      </c>
      <c r="H17" t="s">
        <v>10</v>
      </c>
      <c r="I17">
        <v>0</v>
      </c>
      <c r="J17" t="s">
        <v>121</v>
      </c>
      <c r="K17" s="9">
        <v>169.96</v>
      </c>
      <c r="L17" s="9">
        <v>13.21</v>
      </c>
      <c r="M17" s="9">
        <v>10.62</v>
      </c>
      <c r="N17" t="s">
        <v>14</v>
      </c>
      <c r="O17" s="9">
        <v>1</v>
      </c>
      <c r="P17" s="9">
        <v>0.8</v>
      </c>
      <c r="Q17" s="9">
        <v>166</v>
      </c>
      <c r="R17" t="s">
        <v>59</v>
      </c>
      <c r="S17" s="7">
        <v>45.5</v>
      </c>
      <c r="V17" s="10" t="s">
        <v>82</v>
      </c>
      <c r="X17" s="10" t="s">
        <v>122</v>
      </c>
      <c r="Y17" s="10" t="s">
        <v>123</v>
      </c>
      <c r="Z17" t="s">
        <v>56</v>
      </c>
    </row>
    <row r="18" spans="1:26">
      <c r="A18">
        <v>199</v>
      </c>
      <c r="B18" t="s">
        <v>45</v>
      </c>
      <c r="C18" t="s">
        <v>46</v>
      </c>
      <c r="D18" t="s">
        <v>47</v>
      </c>
      <c r="E18" t="s">
        <v>48</v>
      </c>
      <c r="F18" t="s">
        <v>49</v>
      </c>
      <c r="G18" t="s">
        <v>124</v>
      </c>
      <c r="H18" t="s">
        <v>10</v>
      </c>
      <c r="I18">
        <v>0</v>
      </c>
      <c r="J18" t="s">
        <v>125</v>
      </c>
      <c r="K18" s="9">
        <v>143.31</v>
      </c>
      <c r="L18" s="9">
        <v>15.31</v>
      </c>
      <c r="M18" s="9">
        <v>10.43</v>
      </c>
      <c r="N18" t="s">
        <v>14</v>
      </c>
      <c r="O18" s="9">
        <v>0.98</v>
      </c>
      <c r="P18" s="9">
        <v>0.83</v>
      </c>
      <c r="Q18" s="9">
        <v>142.1</v>
      </c>
      <c r="R18" t="s">
        <v>59</v>
      </c>
      <c r="S18" s="7">
        <v>49.3</v>
      </c>
      <c r="V18" s="10" t="s">
        <v>109</v>
      </c>
      <c r="X18" s="10" t="s">
        <v>126</v>
      </c>
      <c r="Y18" s="10" t="s">
        <v>127</v>
      </c>
      <c r="Z18" t="s">
        <v>56</v>
      </c>
    </row>
    <row r="19" spans="1:26">
      <c r="A19">
        <v>200</v>
      </c>
      <c r="B19" t="s">
        <v>45</v>
      </c>
      <c r="C19" t="s">
        <v>46</v>
      </c>
      <c r="D19" t="s">
        <v>47</v>
      </c>
      <c r="E19" t="s">
        <v>48</v>
      </c>
      <c r="F19" t="s">
        <v>49</v>
      </c>
      <c r="G19" t="s">
        <v>128</v>
      </c>
      <c r="H19" t="s">
        <v>10</v>
      </c>
      <c r="I19">
        <v>0</v>
      </c>
      <c r="J19" t="s">
        <v>129</v>
      </c>
      <c r="K19" s="9">
        <v>147.98</v>
      </c>
      <c r="L19" s="9">
        <v>14.67</v>
      </c>
      <c r="M19" s="9">
        <v>13.49</v>
      </c>
      <c r="N19" t="s">
        <v>14</v>
      </c>
      <c r="O19" s="9">
        <v>1.26</v>
      </c>
      <c r="P19" s="9">
        <v>1.03</v>
      </c>
      <c r="Q19" s="9">
        <v>148.5</v>
      </c>
      <c r="R19" t="s">
        <v>59</v>
      </c>
      <c r="S19" s="7">
        <v>49.9</v>
      </c>
      <c r="V19" s="10" t="s">
        <v>130</v>
      </c>
      <c r="X19" s="10" t="s">
        <v>131</v>
      </c>
      <c r="Y19" s="10" t="s">
        <v>132</v>
      </c>
      <c r="Z19" t="s">
        <v>56</v>
      </c>
    </row>
    <row r="20" spans="1:26">
      <c r="A20">
        <v>201</v>
      </c>
      <c r="B20" t="s">
        <v>45</v>
      </c>
      <c r="C20" t="s">
        <v>46</v>
      </c>
      <c r="D20" t="s">
        <v>47</v>
      </c>
      <c r="E20" t="s">
        <v>48</v>
      </c>
      <c r="F20" t="s">
        <v>49</v>
      </c>
      <c r="G20" t="s">
        <v>133</v>
      </c>
      <c r="H20" t="s">
        <v>10</v>
      </c>
      <c r="I20">
        <v>0</v>
      </c>
      <c r="J20" t="s">
        <v>134</v>
      </c>
      <c r="K20" s="9">
        <v>158.88</v>
      </c>
      <c r="L20" s="9">
        <v>17.41</v>
      </c>
      <c r="M20" s="9">
        <v>15.33</v>
      </c>
      <c r="N20" t="s">
        <v>14</v>
      </c>
      <c r="O20" s="9">
        <v>1.43</v>
      </c>
      <c r="P20" s="9">
        <v>1.14</v>
      </c>
      <c r="Q20" s="9">
        <v>157</v>
      </c>
      <c r="R20" t="s">
        <v>59</v>
      </c>
      <c r="S20" s="7">
        <v>50.2</v>
      </c>
      <c r="V20" s="10" t="s">
        <v>130</v>
      </c>
      <c r="X20" s="10" t="s">
        <v>135</v>
      </c>
      <c r="Y20" s="10" t="s">
        <v>136</v>
      </c>
      <c r="Z20" t="s">
        <v>56</v>
      </c>
    </row>
    <row r="21" spans="1:26">
      <c r="A21">
        <v>202</v>
      </c>
      <c r="B21" t="s">
        <v>45</v>
      </c>
      <c r="C21" t="s">
        <v>46</v>
      </c>
      <c r="D21" t="s">
        <v>47</v>
      </c>
      <c r="E21" t="s">
        <v>48</v>
      </c>
      <c r="F21" t="s">
        <v>49</v>
      </c>
      <c r="G21" t="s">
        <v>137</v>
      </c>
      <c r="H21" t="s">
        <v>10</v>
      </c>
      <c r="I21">
        <v>0</v>
      </c>
      <c r="J21" t="s">
        <v>138</v>
      </c>
      <c r="K21" s="9">
        <v>187.79</v>
      </c>
      <c r="L21" s="9">
        <v>21.16</v>
      </c>
      <c r="M21" s="9">
        <v>20</v>
      </c>
      <c r="N21" t="s">
        <v>14</v>
      </c>
      <c r="O21" s="9">
        <v>1.86</v>
      </c>
      <c r="P21" s="9">
        <v>1.49</v>
      </c>
      <c r="Q21" s="9">
        <v>184.5</v>
      </c>
      <c r="R21" t="s">
        <v>59</v>
      </c>
      <c r="S21" s="7">
        <v>48.5</v>
      </c>
      <c r="V21" s="10" t="s">
        <v>109</v>
      </c>
      <c r="X21" s="10" t="s">
        <v>139</v>
      </c>
      <c r="Y21" s="10" t="s">
        <v>140</v>
      </c>
      <c r="Z21" t="s">
        <v>56</v>
      </c>
    </row>
    <row r="22" spans="1:26">
      <c r="A22">
        <v>203</v>
      </c>
      <c r="B22" t="s">
        <v>45</v>
      </c>
      <c r="C22" t="s">
        <v>46</v>
      </c>
      <c r="D22" t="s">
        <v>47</v>
      </c>
      <c r="E22" t="s">
        <v>48</v>
      </c>
      <c r="F22" t="s">
        <v>49</v>
      </c>
      <c r="G22" t="s">
        <v>141</v>
      </c>
      <c r="H22" t="s">
        <v>10</v>
      </c>
      <c r="I22">
        <v>0</v>
      </c>
      <c r="J22" t="s">
        <v>142</v>
      </c>
      <c r="K22" s="9">
        <v>155.67</v>
      </c>
      <c r="L22" s="9">
        <v>18.41</v>
      </c>
      <c r="M22" s="9">
        <v>17.13</v>
      </c>
      <c r="N22" t="s">
        <v>14</v>
      </c>
      <c r="O22" s="9">
        <v>1.59</v>
      </c>
      <c r="P22" s="9">
        <v>1.36</v>
      </c>
      <c r="Q22" s="9">
        <v>155</v>
      </c>
      <c r="R22" t="s">
        <v>59</v>
      </c>
      <c r="S22" s="7">
        <v>50.5</v>
      </c>
      <c r="V22" s="10" t="s">
        <v>143</v>
      </c>
      <c r="X22" s="10" t="s">
        <v>144</v>
      </c>
      <c r="Y22" s="10" t="s">
        <v>145</v>
      </c>
      <c r="Z22" t="s">
        <v>56</v>
      </c>
    </row>
    <row r="23" spans="1:26">
      <c r="A23">
        <v>204</v>
      </c>
      <c r="B23" t="s">
        <v>45</v>
      </c>
      <c r="C23" t="s">
        <v>46</v>
      </c>
      <c r="D23" t="s">
        <v>47</v>
      </c>
      <c r="E23" t="s">
        <v>48</v>
      </c>
      <c r="F23" t="s">
        <v>49</v>
      </c>
      <c r="G23" t="s">
        <v>146</v>
      </c>
      <c r="H23" t="s">
        <v>10</v>
      </c>
      <c r="I23">
        <v>0</v>
      </c>
      <c r="J23" t="s">
        <v>147</v>
      </c>
      <c r="K23" s="9">
        <v>168</v>
      </c>
      <c r="L23" s="9">
        <v>20.5</v>
      </c>
      <c r="M23" s="9">
        <v>18.8</v>
      </c>
      <c r="N23" t="s">
        <v>14</v>
      </c>
      <c r="O23" s="9">
        <v>1.74</v>
      </c>
      <c r="P23" s="9">
        <v>1.62</v>
      </c>
      <c r="Q23" s="9">
        <v>165</v>
      </c>
      <c r="R23" t="s">
        <v>59</v>
      </c>
      <c r="S23" s="7">
        <v>51</v>
      </c>
      <c r="V23" s="10" t="s">
        <v>143</v>
      </c>
      <c r="X23" s="10" t="s">
        <v>148</v>
      </c>
      <c r="Y23" s="10" t="s">
        <v>149</v>
      </c>
      <c r="Z23" t="s">
        <v>56</v>
      </c>
    </row>
    <row r="24" spans="1:26">
      <c r="A24">
        <v>205</v>
      </c>
      <c r="B24" t="s">
        <v>45</v>
      </c>
      <c r="C24" t="s">
        <v>46</v>
      </c>
      <c r="D24" t="s">
        <v>47</v>
      </c>
      <c r="E24" t="s">
        <v>48</v>
      </c>
      <c r="F24" t="s">
        <v>49</v>
      </c>
      <c r="G24" t="s">
        <v>150</v>
      </c>
      <c r="H24" t="s">
        <v>10</v>
      </c>
      <c r="I24">
        <v>0</v>
      </c>
      <c r="J24" t="s">
        <v>151</v>
      </c>
      <c r="K24" s="9">
        <v>185</v>
      </c>
      <c r="L24" s="9">
        <v>23.5</v>
      </c>
      <c r="M24" s="9">
        <v>21.5</v>
      </c>
      <c r="N24" t="s">
        <v>14</v>
      </c>
      <c r="O24" s="9">
        <v>1.98</v>
      </c>
      <c r="P24" s="9">
        <v>1.85</v>
      </c>
      <c r="Q24" s="9">
        <v>182</v>
      </c>
      <c r="R24" t="s">
        <v>59</v>
      </c>
      <c r="S24" s="7">
        <v>51.5</v>
      </c>
      <c r="V24" s="10" t="s">
        <v>152</v>
      </c>
      <c r="X24" s="10" t="s">
        <v>153</v>
      </c>
      <c r="Y24" s="10" t="s">
        <v>154</v>
      </c>
      <c r="Z24" t="s">
        <v>56</v>
      </c>
    </row>
    <row r="25" spans="1:26">
      <c r="A25">
        <v>206</v>
      </c>
      <c r="B25" t="s">
        <v>45</v>
      </c>
      <c r="C25" t="s">
        <v>46</v>
      </c>
      <c r="D25" t="s">
        <v>47</v>
      </c>
      <c r="E25" t="s">
        <v>48</v>
      </c>
      <c r="F25" t="s">
        <v>49</v>
      </c>
      <c r="G25" t="s">
        <v>155</v>
      </c>
      <c r="H25" t="s">
        <v>10</v>
      </c>
      <c r="I25">
        <v>0</v>
      </c>
      <c r="J25" t="s">
        <v>156</v>
      </c>
      <c r="K25" s="9">
        <v>195</v>
      </c>
      <c r="L25" s="9">
        <v>25.5</v>
      </c>
      <c r="M25" s="9">
        <v>23.5</v>
      </c>
      <c r="N25" t="s">
        <v>14</v>
      </c>
      <c r="O25" s="9">
        <v>2.16</v>
      </c>
      <c r="P25" s="9">
        <v>2.02</v>
      </c>
      <c r="Q25" s="9">
        <v>192</v>
      </c>
      <c r="R25" t="s">
        <v>59</v>
      </c>
      <c r="S25" s="7">
        <v>52</v>
      </c>
      <c r="V25" s="10" t="s">
        <v>152</v>
      </c>
      <c r="X25" s="10" t="s">
        <v>157</v>
      </c>
      <c r="Y25" s="10" t="s">
        <v>158</v>
      </c>
      <c r="Z25" t="s">
        <v>56</v>
      </c>
    </row>
    <row r="26" spans="1:26">
      <c r="A26">
        <v>207</v>
      </c>
      <c r="B26" t="s">
        <v>45</v>
      </c>
      <c r="C26" t="s">
        <v>46</v>
      </c>
      <c r="D26" t="s">
        <v>47</v>
      </c>
      <c r="E26" t="s">
        <v>48</v>
      </c>
      <c r="F26" t="s">
        <v>49</v>
      </c>
      <c r="G26" t="s">
        <v>159</v>
      </c>
      <c r="H26" t="s">
        <v>11</v>
      </c>
      <c r="I26">
        <v>1</v>
      </c>
      <c r="K26" s="9">
        <v>210</v>
      </c>
      <c r="L26" s="9">
        <v>28</v>
      </c>
      <c r="M26" s="9">
        <v>25.5</v>
      </c>
      <c r="N26" t="s">
        <v>14</v>
      </c>
      <c r="O26" s="9">
        <v>2.35</v>
      </c>
      <c r="P26" s="9">
        <v>2.2</v>
      </c>
      <c r="Q26" s="9">
        <v>206</v>
      </c>
      <c r="S26" s="7">
        <v>52.5</v>
      </c>
      <c r="V26" s="10" t="s">
        <v>160</v>
      </c>
      <c r="X26" s="10" t="s">
        <v>161</v>
      </c>
      <c r="Y26" s="10" t="s">
        <v>162</v>
      </c>
      <c r="Z26" t="s">
        <v>56</v>
      </c>
    </row>
    <row r="27" spans="1:26">
      <c r="A27">
        <v>208</v>
      </c>
      <c r="B27" t="s">
        <v>45</v>
      </c>
      <c r="C27" t="s">
        <v>46</v>
      </c>
      <c r="D27" t="s">
        <v>47</v>
      </c>
      <c r="E27" t="s">
        <v>48</v>
      </c>
      <c r="F27" t="s">
        <v>49</v>
      </c>
      <c r="G27" t="s">
        <v>163</v>
      </c>
      <c r="H27" t="s">
        <v>11</v>
      </c>
      <c r="I27">
        <v>1</v>
      </c>
      <c r="K27" s="9">
        <v>245</v>
      </c>
      <c r="L27" s="9">
        <v>33</v>
      </c>
      <c r="M27" s="9">
        <v>30</v>
      </c>
      <c r="N27" t="s">
        <v>14</v>
      </c>
      <c r="O27" s="9">
        <v>2.75</v>
      </c>
      <c r="P27" s="9">
        <v>2.58</v>
      </c>
      <c r="Q27" s="9">
        <v>240</v>
      </c>
      <c r="S27" s="7">
        <v>50.5</v>
      </c>
      <c r="V27" s="10" t="s">
        <v>160</v>
      </c>
      <c r="X27" s="10" t="s">
        <v>164</v>
      </c>
      <c r="Y27" s="10" t="s">
        <v>162</v>
      </c>
      <c r="Z27" t="s">
        <v>56</v>
      </c>
    </row>
    <row r="28" spans="1:26">
      <c r="A28">
        <v>131</v>
      </c>
      <c r="B28" t="s">
        <v>165</v>
      </c>
      <c r="C28" t="s">
        <v>166</v>
      </c>
      <c r="D28" t="s">
        <v>167</v>
      </c>
      <c r="E28" t="s">
        <v>48</v>
      </c>
      <c r="F28" t="s">
        <v>168</v>
      </c>
      <c r="G28" t="s">
        <v>50</v>
      </c>
      <c r="H28" t="s">
        <v>10</v>
      </c>
      <c r="I28">
        <v>0</v>
      </c>
      <c r="J28" t="s">
        <v>169</v>
      </c>
      <c r="K28" s="9">
        <v>41.16</v>
      </c>
      <c r="L28" s="9">
        <v>7.98</v>
      </c>
      <c r="M28" s="9">
        <v>6.84</v>
      </c>
      <c r="N28" t="s">
        <v>14</v>
      </c>
      <c r="O28" s="9">
        <v>9.869999999999999</v>
      </c>
      <c r="P28" s="9">
        <v>9.630000000000001</v>
      </c>
      <c r="Q28" s="9">
        <v>40.5</v>
      </c>
      <c r="R28" t="s">
        <v>100</v>
      </c>
      <c r="S28" s="7">
        <v>54</v>
      </c>
      <c r="V28" s="10" t="s">
        <v>170</v>
      </c>
      <c r="X28" s="10" t="s">
        <v>171</v>
      </c>
      <c r="Y28" s="10" t="s">
        <v>172</v>
      </c>
      <c r="Z28" t="s">
        <v>56</v>
      </c>
    </row>
    <row r="29" spans="1:26">
      <c r="A29">
        <v>132</v>
      </c>
      <c r="B29" t="s">
        <v>165</v>
      </c>
      <c r="C29" t="s">
        <v>166</v>
      </c>
      <c r="D29" t="s">
        <v>167</v>
      </c>
      <c r="E29" t="s">
        <v>48</v>
      </c>
      <c r="F29" t="s">
        <v>168</v>
      </c>
      <c r="G29" t="s">
        <v>57</v>
      </c>
      <c r="H29" t="s">
        <v>10</v>
      </c>
      <c r="I29">
        <v>0</v>
      </c>
      <c r="J29" t="s">
        <v>58</v>
      </c>
      <c r="K29" s="9">
        <v>38.3</v>
      </c>
      <c r="L29" s="9">
        <v>6.38</v>
      </c>
      <c r="M29" s="9">
        <v>6.96</v>
      </c>
      <c r="N29" t="s">
        <v>14</v>
      </c>
      <c r="O29" s="9">
        <v>10.13</v>
      </c>
      <c r="P29" s="9">
        <v>8.210000000000001</v>
      </c>
      <c r="Q29" s="9">
        <v>37.5</v>
      </c>
      <c r="R29" t="s">
        <v>59</v>
      </c>
      <c r="S29" s="7">
        <v>52</v>
      </c>
      <c r="V29" s="10" t="s">
        <v>173</v>
      </c>
      <c r="X29" s="10" t="s">
        <v>174</v>
      </c>
      <c r="Y29" s="10" t="s">
        <v>175</v>
      </c>
      <c r="Z29" t="s">
        <v>56</v>
      </c>
    </row>
    <row r="30" spans="1:26">
      <c r="A30">
        <v>133</v>
      </c>
      <c r="B30" t="s">
        <v>165</v>
      </c>
      <c r="C30" t="s">
        <v>166</v>
      </c>
      <c r="D30" t="s">
        <v>167</v>
      </c>
      <c r="E30" t="s">
        <v>48</v>
      </c>
      <c r="F30" t="s">
        <v>168</v>
      </c>
      <c r="G30" t="s">
        <v>62</v>
      </c>
      <c r="H30" t="s">
        <v>10</v>
      </c>
      <c r="I30">
        <v>0</v>
      </c>
      <c r="J30" t="s">
        <v>63</v>
      </c>
      <c r="K30" s="9">
        <v>46.17</v>
      </c>
      <c r="L30" s="9">
        <v>11.21</v>
      </c>
      <c r="M30" s="9">
        <v>11.25</v>
      </c>
      <c r="N30" t="s">
        <v>14</v>
      </c>
      <c r="O30" s="9">
        <v>16.4</v>
      </c>
      <c r="P30" s="9">
        <v>11.29</v>
      </c>
      <c r="Q30" s="9">
        <v>42.7</v>
      </c>
      <c r="R30" t="s">
        <v>59</v>
      </c>
      <c r="S30" s="7">
        <v>54.5</v>
      </c>
      <c r="V30" s="10" t="s">
        <v>176</v>
      </c>
      <c r="X30" s="10" t="s">
        <v>177</v>
      </c>
      <c r="Y30" s="10" t="s">
        <v>178</v>
      </c>
      <c r="Z30" t="s">
        <v>56</v>
      </c>
    </row>
    <row r="31" spans="1:26">
      <c r="A31">
        <v>134</v>
      </c>
      <c r="B31" t="s">
        <v>165</v>
      </c>
      <c r="C31" t="s">
        <v>166</v>
      </c>
      <c r="D31" t="s">
        <v>167</v>
      </c>
      <c r="E31" t="s">
        <v>48</v>
      </c>
      <c r="F31" t="s">
        <v>168</v>
      </c>
      <c r="G31" t="s">
        <v>66</v>
      </c>
      <c r="H31" t="s">
        <v>10</v>
      </c>
      <c r="I31">
        <v>0</v>
      </c>
      <c r="J31" t="s">
        <v>67</v>
      </c>
      <c r="K31" s="9">
        <v>56.9</v>
      </c>
      <c r="L31" s="9">
        <v>15.65</v>
      </c>
      <c r="M31" s="9">
        <v>15.23</v>
      </c>
      <c r="N31" t="s">
        <v>14</v>
      </c>
      <c r="O31" s="9">
        <v>22.3</v>
      </c>
      <c r="P31" s="9">
        <v>15.9</v>
      </c>
      <c r="Q31" s="9">
        <v>53</v>
      </c>
      <c r="R31" t="s">
        <v>59</v>
      </c>
      <c r="S31" s="7">
        <v>53.5</v>
      </c>
      <c r="V31" s="10" t="s">
        <v>179</v>
      </c>
      <c r="X31" s="10" t="s">
        <v>180</v>
      </c>
      <c r="Y31" s="10" t="s">
        <v>181</v>
      </c>
      <c r="Z31" t="s">
        <v>56</v>
      </c>
    </row>
    <row r="32" spans="1:26">
      <c r="A32">
        <v>135</v>
      </c>
      <c r="B32" t="s">
        <v>165</v>
      </c>
      <c r="C32" t="s">
        <v>166</v>
      </c>
      <c r="D32" t="s">
        <v>167</v>
      </c>
      <c r="E32" t="s">
        <v>48</v>
      </c>
      <c r="F32" t="s">
        <v>168</v>
      </c>
      <c r="G32" t="s">
        <v>71</v>
      </c>
      <c r="H32" t="s">
        <v>10</v>
      </c>
      <c r="I32">
        <v>0</v>
      </c>
      <c r="J32" t="s">
        <v>182</v>
      </c>
      <c r="K32" s="9">
        <v>55.31</v>
      </c>
      <c r="L32" s="9">
        <v>16.44</v>
      </c>
      <c r="M32" s="9">
        <v>17.93</v>
      </c>
      <c r="N32" t="s">
        <v>14</v>
      </c>
      <c r="O32" s="9">
        <v>26.29</v>
      </c>
      <c r="P32" s="9">
        <v>15.82</v>
      </c>
      <c r="Q32" s="9">
        <v>51.5</v>
      </c>
      <c r="R32" t="s">
        <v>59</v>
      </c>
      <c r="S32" s="7">
        <v>57</v>
      </c>
      <c r="V32" s="10" t="s">
        <v>179</v>
      </c>
      <c r="X32" s="10" t="s">
        <v>183</v>
      </c>
      <c r="Y32" s="10" t="s">
        <v>184</v>
      </c>
      <c r="Z32" t="s">
        <v>56</v>
      </c>
    </row>
    <row r="33" spans="1:26">
      <c r="A33">
        <v>136</v>
      </c>
      <c r="B33" t="s">
        <v>165</v>
      </c>
      <c r="C33" t="s">
        <v>166</v>
      </c>
      <c r="D33" t="s">
        <v>167</v>
      </c>
      <c r="E33" t="s">
        <v>48</v>
      </c>
      <c r="F33" t="s">
        <v>168</v>
      </c>
      <c r="G33" t="s">
        <v>75</v>
      </c>
      <c r="H33" t="s">
        <v>10</v>
      </c>
      <c r="I33">
        <v>0</v>
      </c>
      <c r="J33" t="s">
        <v>185</v>
      </c>
      <c r="K33" s="9">
        <v>61.88</v>
      </c>
      <c r="L33" s="9">
        <v>19.36</v>
      </c>
      <c r="M33" s="9">
        <v>18.53</v>
      </c>
      <c r="N33" t="s">
        <v>14</v>
      </c>
      <c r="O33" s="9">
        <v>27.26</v>
      </c>
      <c r="P33" s="9">
        <v>19.34</v>
      </c>
      <c r="Q33" s="9">
        <v>56.3</v>
      </c>
      <c r="R33" t="s">
        <v>59</v>
      </c>
      <c r="S33" s="7">
        <v>57.5</v>
      </c>
      <c r="V33" s="10" t="s">
        <v>186</v>
      </c>
      <c r="X33" s="10" t="s">
        <v>187</v>
      </c>
      <c r="Y33" s="10" t="s">
        <v>188</v>
      </c>
      <c r="Z33" t="s">
        <v>56</v>
      </c>
    </row>
    <row r="34" spans="1:26">
      <c r="A34">
        <v>137</v>
      </c>
      <c r="B34" t="s">
        <v>165</v>
      </c>
      <c r="C34" t="s">
        <v>166</v>
      </c>
      <c r="D34" t="s">
        <v>167</v>
      </c>
      <c r="E34" t="s">
        <v>48</v>
      </c>
      <c r="F34" t="s">
        <v>168</v>
      </c>
      <c r="G34" t="s">
        <v>80</v>
      </c>
      <c r="H34" t="s">
        <v>10</v>
      </c>
      <c r="I34">
        <v>0</v>
      </c>
      <c r="J34" t="s">
        <v>189</v>
      </c>
      <c r="K34" s="9">
        <v>65.12</v>
      </c>
      <c r="L34" s="9">
        <v>21.03</v>
      </c>
      <c r="M34" s="9">
        <v>18.94</v>
      </c>
      <c r="N34" t="s">
        <v>14</v>
      </c>
      <c r="O34" s="9">
        <v>27.99</v>
      </c>
      <c r="P34" s="9">
        <v>23.48</v>
      </c>
      <c r="Q34" s="9">
        <v>63.3</v>
      </c>
      <c r="R34" t="s">
        <v>59</v>
      </c>
      <c r="S34" s="7">
        <v>58</v>
      </c>
      <c r="V34" s="10" t="s">
        <v>186</v>
      </c>
      <c r="X34" s="10" t="s">
        <v>190</v>
      </c>
      <c r="Y34" s="10" t="s">
        <v>191</v>
      </c>
      <c r="Z34" t="s">
        <v>56</v>
      </c>
    </row>
    <row r="35" spans="1:26">
      <c r="A35">
        <v>138</v>
      </c>
      <c r="B35" t="s">
        <v>165</v>
      </c>
      <c r="C35" t="s">
        <v>166</v>
      </c>
      <c r="D35" t="s">
        <v>167</v>
      </c>
      <c r="E35" t="s">
        <v>48</v>
      </c>
      <c r="F35" t="s">
        <v>168</v>
      </c>
      <c r="G35" t="s">
        <v>85</v>
      </c>
      <c r="H35" t="s">
        <v>10</v>
      </c>
      <c r="I35">
        <v>0</v>
      </c>
      <c r="J35" t="s">
        <v>192</v>
      </c>
      <c r="K35" s="9">
        <v>75.33</v>
      </c>
      <c r="L35" s="9">
        <v>21.89</v>
      </c>
      <c r="M35" s="9">
        <v>20.64</v>
      </c>
      <c r="N35" t="s">
        <v>14</v>
      </c>
      <c r="O35" s="9">
        <v>30.69</v>
      </c>
      <c r="P35" s="9">
        <v>27.56</v>
      </c>
      <c r="Q35" s="9">
        <v>72.2</v>
      </c>
      <c r="R35" t="s">
        <v>59</v>
      </c>
      <c r="S35" s="7">
        <v>56.5</v>
      </c>
      <c r="V35" s="10" t="s">
        <v>179</v>
      </c>
      <c r="X35" s="10" t="s">
        <v>193</v>
      </c>
      <c r="Y35" s="10" t="s">
        <v>194</v>
      </c>
      <c r="Z35" t="s">
        <v>56</v>
      </c>
    </row>
    <row r="36" spans="1:26">
      <c r="A36">
        <v>139</v>
      </c>
      <c r="B36" t="s">
        <v>165</v>
      </c>
      <c r="C36" t="s">
        <v>166</v>
      </c>
      <c r="D36" t="s">
        <v>167</v>
      </c>
      <c r="E36" t="s">
        <v>48</v>
      </c>
      <c r="F36" t="s">
        <v>168</v>
      </c>
      <c r="G36" t="s">
        <v>89</v>
      </c>
      <c r="H36" t="s">
        <v>10</v>
      </c>
      <c r="I36">
        <v>0</v>
      </c>
      <c r="J36" t="s">
        <v>195</v>
      </c>
      <c r="K36" s="9">
        <v>68.01000000000001</v>
      </c>
      <c r="L36" s="9">
        <v>20.09</v>
      </c>
      <c r="M36" s="9">
        <v>16.44</v>
      </c>
      <c r="N36" t="s">
        <v>14</v>
      </c>
      <c r="O36" s="9">
        <v>1.23</v>
      </c>
      <c r="P36" s="9">
        <v>1.29</v>
      </c>
      <c r="Q36" s="9">
        <v>68.09999999999999</v>
      </c>
      <c r="R36" t="s">
        <v>52</v>
      </c>
      <c r="S36" s="7">
        <v>56.8</v>
      </c>
      <c r="V36" s="10" t="s">
        <v>196</v>
      </c>
      <c r="X36" s="10" t="s">
        <v>197</v>
      </c>
      <c r="Y36" s="10" t="s">
        <v>198</v>
      </c>
      <c r="Z36" t="s">
        <v>56</v>
      </c>
    </row>
    <row r="37" spans="1:26">
      <c r="A37">
        <v>140</v>
      </c>
      <c r="B37" t="s">
        <v>165</v>
      </c>
      <c r="C37" t="s">
        <v>166</v>
      </c>
      <c r="D37" t="s">
        <v>167</v>
      </c>
      <c r="E37" t="s">
        <v>48</v>
      </c>
      <c r="F37" t="s">
        <v>168</v>
      </c>
      <c r="G37" t="s">
        <v>93</v>
      </c>
      <c r="H37" t="s">
        <v>10</v>
      </c>
      <c r="I37">
        <v>0</v>
      </c>
      <c r="J37" t="s">
        <v>199</v>
      </c>
      <c r="K37" s="9">
        <v>69.69</v>
      </c>
      <c r="L37" s="9">
        <v>19.45</v>
      </c>
      <c r="M37" s="9">
        <v>16</v>
      </c>
      <c r="N37" t="s">
        <v>14</v>
      </c>
      <c r="O37" s="9">
        <v>1.21</v>
      </c>
      <c r="P37" s="9">
        <v>1.28</v>
      </c>
      <c r="Q37" s="9">
        <v>70</v>
      </c>
      <c r="R37" t="s">
        <v>52</v>
      </c>
      <c r="S37" s="7">
        <v>56.5</v>
      </c>
      <c r="V37" s="10" t="s">
        <v>200</v>
      </c>
      <c r="X37" s="10" t="s">
        <v>201</v>
      </c>
      <c r="Y37" s="10" t="s">
        <v>202</v>
      </c>
      <c r="Z37" t="s">
        <v>56</v>
      </c>
    </row>
    <row r="38" spans="1:26">
      <c r="A38">
        <v>141</v>
      </c>
      <c r="B38" t="s">
        <v>165</v>
      </c>
      <c r="C38" t="s">
        <v>166</v>
      </c>
      <c r="D38" t="s">
        <v>167</v>
      </c>
      <c r="E38" t="s">
        <v>48</v>
      </c>
      <c r="F38" t="s">
        <v>168</v>
      </c>
      <c r="G38" t="s">
        <v>98</v>
      </c>
      <c r="H38" t="s">
        <v>10</v>
      </c>
      <c r="I38">
        <v>0</v>
      </c>
      <c r="J38" t="s">
        <v>203</v>
      </c>
      <c r="K38" s="9">
        <v>69.09</v>
      </c>
      <c r="L38" s="9">
        <v>17.14</v>
      </c>
      <c r="M38" s="9">
        <v>13.91</v>
      </c>
      <c r="N38" t="s">
        <v>14</v>
      </c>
      <c r="O38" s="9">
        <v>1.06</v>
      </c>
      <c r="P38" s="9">
        <v>1.26</v>
      </c>
      <c r="Q38" s="9">
        <v>70.5</v>
      </c>
      <c r="R38" t="s">
        <v>52</v>
      </c>
      <c r="S38" s="7">
        <v>55</v>
      </c>
      <c r="V38" s="10" t="s">
        <v>204</v>
      </c>
      <c r="X38" s="10" t="s">
        <v>205</v>
      </c>
      <c r="Y38" s="10" t="s">
        <v>206</v>
      </c>
      <c r="Z38" t="s">
        <v>56</v>
      </c>
    </row>
    <row r="39" spans="1:26">
      <c r="A39">
        <v>142</v>
      </c>
      <c r="B39" t="s">
        <v>165</v>
      </c>
      <c r="C39" t="s">
        <v>166</v>
      </c>
      <c r="D39" t="s">
        <v>167</v>
      </c>
      <c r="E39" t="s">
        <v>48</v>
      </c>
      <c r="F39" t="s">
        <v>168</v>
      </c>
      <c r="G39" t="s">
        <v>103</v>
      </c>
      <c r="H39" t="s">
        <v>10</v>
      </c>
      <c r="I39">
        <v>0</v>
      </c>
      <c r="J39" t="s">
        <v>104</v>
      </c>
      <c r="K39" s="9">
        <v>76.05</v>
      </c>
      <c r="L39" s="9">
        <v>18.16</v>
      </c>
      <c r="M39" s="9">
        <v>13.62</v>
      </c>
      <c r="N39" t="s">
        <v>14</v>
      </c>
      <c r="O39" s="9">
        <v>1.05</v>
      </c>
      <c r="P39" s="9">
        <v>1.18</v>
      </c>
      <c r="Q39" s="9">
        <v>76.5</v>
      </c>
      <c r="R39" t="s">
        <v>52</v>
      </c>
      <c r="S39" s="7">
        <v>54</v>
      </c>
      <c r="V39" s="10" t="s">
        <v>207</v>
      </c>
      <c r="X39" s="10" t="s">
        <v>208</v>
      </c>
      <c r="Y39" s="10" t="s">
        <v>209</v>
      </c>
      <c r="Z39" t="s">
        <v>56</v>
      </c>
    </row>
    <row r="40" spans="1:26">
      <c r="A40">
        <v>143</v>
      </c>
      <c r="B40" t="s">
        <v>165</v>
      </c>
      <c r="C40" t="s">
        <v>166</v>
      </c>
      <c r="D40" t="s">
        <v>167</v>
      </c>
      <c r="E40" t="s">
        <v>48</v>
      </c>
      <c r="F40" t="s">
        <v>168</v>
      </c>
      <c r="G40" t="s">
        <v>107</v>
      </c>
      <c r="H40" t="s">
        <v>10</v>
      </c>
      <c r="I40">
        <v>0</v>
      </c>
      <c r="J40" t="s">
        <v>210</v>
      </c>
      <c r="K40" s="9">
        <v>69.79000000000001</v>
      </c>
      <c r="L40" s="9">
        <v>17.42</v>
      </c>
      <c r="M40" s="9">
        <v>15.05</v>
      </c>
      <c r="N40" t="s">
        <v>14</v>
      </c>
      <c r="O40" s="9">
        <v>1.17</v>
      </c>
      <c r="P40" s="9">
        <v>1.07</v>
      </c>
      <c r="Q40" s="9">
        <v>68.90000000000001</v>
      </c>
      <c r="R40" t="s">
        <v>59</v>
      </c>
      <c r="S40" s="7">
        <v>56.7</v>
      </c>
      <c r="V40" s="10" t="s">
        <v>211</v>
      </c>
      <c r="X40" s="10" t="s">
        <v>212</v>
      </c>
      <c r="Y40" s="10" t="s">
        <v>213</v>
      </c>
      <c r="Z40" t="s">
        <v>56</v>
      </c>
    </row>
    <row r="41" spans="1:26">
      <c r="A41">
        <v>144</v>
      </c>
      <c r="B41" t="s">
        <v>165</v>
      </c>
      <c r="C41" t="s">
        <v>166</v>
      </c>
      <c r="D41" t="s">
        <v>167</v>
      </c>
      <c r="E41" t="s">
        <v>48</v>
      </c>
      <c r="F41" t="s">
        <v>168</v>
      </c>
      <c r="G41" t="s">
        <v>112</v>
      </c>
      <c r="H41" t="s">
        <v>10</v>
      </c>
      <c r="I41">
        <v>0</v>
      </c>
      <c r="J41" t="s">
        <v>214</v>
      </c>
      <c r="K41" s="9">
        <v>74.59999999999999</v>
      </c>
      <c r="L41" s="9">
        <v>21.84</v>
      </c>
      <c r="M41" s="9">
        <v>18.37</v>
      </c>
      <c r="N41" t="s">
        <v>14</v>
      </c>
      <c r="O41" s="9">
        <v>1.44</v>
      </c>
      <c r="P41" s="9">
        <v>1.34</v>
      </c>
      <c r="Q41" s="9">
        <v>73</v>
      </c>
      <c r="R41" t="s">
        <v>59</v>
      </c>
      <c r="S41" s="7">
        <v>57.5</v>
      </c>
      <c r="V41" s="10" t="s">
        <v>211</v>
      </c>
      <c r="X41" s="10" t="s">
        <v>215</v>
      </c>
      <c r="Y41" s="10" t="s">
        <v>216</v>
      </c>
      <c r="Z41" t="s">
        <v>56</v>
      </c>
    </row>
    <row r="42" spans="1:26">
      <c r="A42">
        <v>145</v>
      </c>
      <c r="B42" t="s">
        <v>165</v>
      </c>
      <c r="C42" t="s">
        <v>166</v>
      </c>
      <c r="D42" t="s">
        <v>167</v>
      </c>
      <c r="E42" t="s">
        <v>48</v>
      </c>
      <c r="F42" t="s">
        <v>168</v>
      </c>
      <c r="G42" t="s">
        <v>116</v>
      </c>
      <c r="H42" t="s">
        <v>10</v>
      </c>
      <c r="I42">
        <v>0</v>
      </c>
      <c r="J42" t="s">
        <v>217</v>
      </c>
      <c r="K42" s="9">
        <v>76.69</v>
      </c>
      <c r="L42" s="9">
        <v>21.34</v>
      </c>
      <c r="M42" s="9">
        <v>19.69</v>
      </c>
      <c r="N42" t="s">
        <v>14</v>
      </c>
      <c r="O42" s="9">
        <v>1.55</v>
      </c>
      <c r="P42" s="9">
        <v>1.45</v>
      </c>
      <c r="Q42" s="9">
        <v>75.5</v>
      </c>
      <c r="R42" t="s">
        <v>59</v>
      </c>
      <c r="S42" s="7">
        <v>56.5</v>
      </c>
      <c r="V42" s="10" t="s">
        <v>211</v>
      </c>
      <c r="X42" s="10" t="s">
        <v>218</v>
      </c>
      <c r="Y42" s="10" t="s">
        <v>219</v>
      </c>
      <c r="Z42" t="s">
        <v>56</v>
      </c>
    </row>
    <row r="43" spans="1:26">
      <c r="A43">
        <v>146</v>
      </c>
      <c r="B43" t="s">
        <v>165</v>
      </c>
      <c r="C43" t="s">
        <v>166</v>
      </c>
      <c r="D43" t="s">
        <v>167</v>
      </c>
      <c r="E43" t="s">
        <v>48</v>
      </c>
      <c r="F43" t="s">
        <v>168</v>
      </c>
      <c r="G43" t="s">
        <v>120</v>
      </c>
      <c r="H43" t="s">
        <v>10</v>
      </c>
      <c r="I43">
        <v>0</v>
      </c>
      <c r="J43" t="s">
        <v>220</v>
      </c>
      <c r="K43" s="9">
        <v>86.31</v>
      </c>
      <c r="L43" s="9">
        <v>23.7</v>
      </c>
      <c r="M43" s="9">
        <v>20.69</v>
      </c>
      <c r="N43" t="s">
        <v>14</v>
      </c>
      <c r="O43" s="9">
        <v>1.64</v>
      </c>
      <c r="P43" s="9">
        <v>1.59</v>
      </c>
      <c r="Q43" s="9">
        <v>85.3</v>
      </c>
      <c r="R43" t="s">
        <v>59</v>
      </c>
      <c r="S43" s="7">
        <v>56</v>
      </c>
      <c r="V43" s="10" t="s">
        <v>221</v>
      </c>
      <c r="X43" s="10" t="s">
        <v>222</v>
      </c>
      <c r="Y43" s="10" t="s">
        <v>223</v>
      </c>
      <c r="Z43" t="s">
        <v>56</v>
      </c>
    </row>
    <row r="44" spans="1:26">
      <c r="A44">
        <v>147</v>
      </c>
      <c r="B44" t="s">
        <v>165</v>
      </c>
      <c r="C44" t="s">
        <v>166</v>
      </c>
      <c r="D44" t="s">
        <v>167</v>
      </c>
      <c r="E44" t="s">
        <v>48</v>
      </c>
      <c r="F44" t="s">
        <v>168</v>
      </c>
      <c r="G44" t="s">
        <v>124</v>
      </c>
      <c r="H44" t="s">
        <v>10</v>
      </c>
      <c r="I44">
        <v>0</v>
      </c>
      <c r="J44" t="s">
        <v>224</v>
      </c>
      <c r="K44" s="9">
        <v>80.54000000000001</v>
      </c>
      <c r="L44" s="9">
        <v>25.47</v>
      </c>
      <c r="M44" s="9">
        <v>23.66</v>
      </c>
      <c r="N44" t="s">
        <v>14</v>
      </c>
      <c r="O44" s="9">
        <v>1.89</v>
      </c>
      <c r="P44" s="9">
        <v>1.51</v>
      </c>
      <c r="Q44" s="9">
        <v>78.7</v>
      </c>
      <c r="R44" t="s">
        <v>59</v>
      </c>
      <c r="S44" s="7">
        <v>58</v>
      </c>
      <c r="V44" s="10" t="s">
        <v>225</v>
      </c>
      <c r="X44" s="10" t="s">
        <v>226</v>
      </c>
      <c r="Y44" s="10" t="s">
        <v>227</v>
      </c>
      <c r="Z44" t="s">
        <v>56</v>
      </c>
    </row>
    <row r="45" spans="1:26">
      <c r="A45">
        <v>148</v>
      </c>
      <c r="B45" t="s">
        <v>165</v>
      </c>
      <c r="C45" t="s">
        <v>166</v>
      </c>
      <c r="D45" t="s">
        <v>167</v>
      </c>
      <c r="E45" t="s">
        <v>48</v>
      </c>
      <c r="F45" t="s">
        <v>168</v>
      </c>
      <c r="G45" t="s">
        <v>128</v>
      </c>
      <c r="H45" t="s">
        <v>10</v>
      </c>
      <c r="I45">
        <v>0</v>
      </c>
      <c r="J45" t="s">
        <v>228</v>
      </c>
      <c r="K45" s="9">
        <v>84.73999999999999</v>
      </c>
      <c r="L45" s="9">
        <v>27.43</v>
      </c>
      <c r="M45" s="9">
        <v>23.62</v>
      </c>
      <c r="N45" t="s">
        <v>14</v>
      </c>
      <c r="O45" s="9">
        <v>1.89</v>
      </c>
      <c r="P45" s="9">
        <v>1.84</v>
      </c>
      <c r="Q45" s="9">
        <v>84</v>
      </c>
      <c r="R45" t="s">
        <v>59</v>
      </c>
      <c r="S45" s="7">
        <v>58.2</v>
      </c>
      <c r="V45" s="10" t="s">
        <v>225</v>
      </c>
      <c r="X45" s="10" t="s">
        <v>229</v>
      </c>
      <c r="Y45" s="10" t="s">
        <v>230</v>
      </c>
      <c r="Z45" t="s">
        <v>56</v>
      </c>
    </row>
    <row r="46" spans="1:26">
      <c r="A46">
        <v>149</v>
      </c>
      <c r="B46" t="s">
        <v>165</v>
      </c>
      <c r="C46" t="s">
        <v>166</v>
      </c>
      <c r="D46" t="s">
        <v>167</v>
      </c>
      <c r="E46" t="s">
        <v>48</v>
      </c>
      <c r="F46" t="s">
        <v>168</v>
      </c>
      <c r="G46" t="s">
        <v>133</v>
      </c>
      <c r="H46" t="s">
        <v>10</v>
      </c>
      <c r="I46">
        <v>0</v>
      </c>
      <c r="J46" t="s">
        <v>231</v>
      </c>
      <c r="K46" s="9">
        <v>88.27</v>
      </c>
      <c r="L46" s="9">
        <v>28.52</v>
      </c>
      <c r="M46" s="9">
        <v>26.3</v>
      </c>
      <c r="N46" t="s">
        <v>14</v>
      </c>
      <c r="O46" s="9">
        <v>2.12</v>
      </c>
      <c r="P46" s="9">
        <v>1.85</v>
      </c>
      <c r="Q46" s="9">
        <v>86.2</v>
      </c>
      <c r="R46" t="s">
        <v>59</v>
      </c>
      <c r="S46" s="7">
        <v>58</v>
      </c>
      <c r="V46" s="10" t="s">
        <v>232</v>
      </c>
      <c r="X46" s="10" t="s">
        <v>233</v>
      </c>
      <c r="Y46" s="10" t="s">
        <v>234</v>
      </c>
      <c r="Z46" t="s">
        <v>56</v>
      </c>
    </row>
    <row r="47" spans="1:26">
      <c r="A47">
        <v>150</v>
      </c>
      <c r="B47" t="s">
        <v>165</v>
      </c>
      <c r="C47" t="s">
        <v>166</v>
      </c>
      <c r="D47" t="s">
        <v>167</v>
      </c>
      <c r="E47" t="s">
        <v>48</v>
      </c>
      <c r="F47" t="s">
        <v>168</v>
      </c>
      <c r="G47" t="s">
        <v>137</v>
      </c>
      <c r="H47" t="s">
        <v>10</v>
      </c>
      <c r="I47">
        <v>0</v>
      </c>
      <c r="J47" t="s">
        <v>235</v>
      </c>
      <c r="K47" s="9">
        <v>96.47</v>
      </c>
      <c r="L47" s="9">
        <v>30.97</v>
      </c>
      <c r="M47" s="9">
        <v>26.54</v>
      </c>
      <c r="N47" t="s">
        <v>14</v>
      </c>
      <c r="O47" s="9">
        <v>2.15</v>
      </c>
      <c r="P47" s="9">
        <v>2.12</v>
      </c>
      <c r="Q47" s="9">
        <v>95</v>
      </c>
      <c r="R47" t="s">
        <v>59</v>
      </c>
      <c r="S47" s="7">
        <v>57.8</v>
      </c>
      <c r="V47" s="10" t="s">
        <v>236</v>
      </c>
      <c r="X47" s="10" t="s">
        <v>237</v>
      </c>
      <c r="Y47" s="10" t="s">
        <v>238</v>
      </c>
      <c r="Z47" t="s">
        <v>56</v>
      </c>
    </row>
    <row r="48" spans="1:26">
      <c r="A48">
        <v>151</v>
      </c>
      <c r="B48" t="s">
        <v>165</v>
      </c>
      <c r="C48" t="s">
        <v>166</v>
      </c>
      <c r="D48" t="s">
        <v>167</v>
      </c>
      <c r="E48" t="s">
        <v>48</v>
      </c>
      <c r="F48" t="s">
        <v>168</v>
      </c>
      <c r="G48" t="s">
        <v>141</v>
      </c>
      <c r="H48" t="s">
        <v>10</v>
      </c>
      <c r="I48">
        <v>0</v>
      </c>
      <c r="J48" t="s">
        <v>239</v>
      </c>
      <c r="K48" s="9">
        <v>90.23</v>
      </c>
      <c r="L48" s="9">
        <v>28.82</v>
      </c>
      <c r="M48" s="9">
        <v>26.35</v>
      </c>
      <c r="N48" t="s">
        <v>14</v>
      </c>
      <c r="O48" s="9">
        <v>2.14</v>
      </c>
      <c r="P48" s="9">
        <v>1.96</v>
      </c>
      <c r="Q48" s="9">
        <v>88.5</v>
      </c>
      <c r="R48" t="s">
        <v>59</v>
      </c>
      <c r="S48" s="7">
        <v>59</v>
      </c>
      <c r="V48" s="10" t="s">
        <v>240</v>
      </c>
      <c r="X48" s="10" t="s">
        <v>241</v>
      </c>
      <c r="Y48" s="10" t="s">
        <v>242</v>
      </c>
      <c r="Z48" t="s">
        <v>56</v>
      </c>
    </row>
    <row r="49" spans="1:26">
      <c r="A49">
        <v>152</v>
      </c>
      <c r="B49" t="s">
        <v>165</v>
      </c>
      <c r="C49" t="s">
        <v>166</v>
      </c>
      <c r="D49" t="s">
        <v>167</v>
      </c>
      <c r="E49" t="s">
        <v>48</v>
      </c>
      <c r="F49" t="s">
        <v>168</v>
      </c>
      <c r="G49" t="s">
        <v>146</v>
      </c>
      <c r="H49" t="s">
        <v>10</v>
      </c>
      <c r="I49">
        <v>0</v>
      </c>
      <c r="J49" t="s">
        <v>243</v>
      </c>
      <c r="K49" s="9">
        <v>96.428</v>
      </c>
      <c r="L49" s="9">
        <v>31.271</v>
      </c>
      <c r="M49" s="9">
        <v>28.196</v>
      </c>
      <c r="N49" t="s">
        <v>14</v>
      </c>
      <c r="O49" s="9">
        <v>2.31</v>
      </c>
      <c r="P49" s="9">
        <v>2.28</v>
      </c>
      <c r="Q49" s="9">
        <v>96</v>
      </c>
      <c r="R49" t="s">
        <v>59</v>
      </c>
      <c r="S49" s="7">
        <v>58.8</v>
      </c>
      <c r="T49" s="7">
        <v>32.4</v>
      </c>
      <c r="V49" s="10" t="s">
        <v>244</v>
      </c>
      <c r="X49" s="10" t="s">
        <v>245</v>
      </c>
      <c r="Y49" s="10" t="s">
        <v>246</v>
      </c>
      <c r="Z49" t="s">
        <v>56</v>
      </c>
    </row>
    <row r="50" spans="1:26">
      <c r="A50">
        <v>153</v>
      </c>
      <c r="B50" t="s">
        <v>165</v>
      </c>
      <c r="C50" t="s">
        <v>166</v>
      </c>
      <c r="D50" t="s">
        <v>167</v>
      </c>
      <c r="E50" t="s">
        <v>48</v>
      </c>
      <c r="F50" t="s">
        <v>168</v>
      </c>
      <c r="G50" t="s">
        <v>150</v>
      </c>
      <c r="H50" t="s">
        <v>10</v>
      </c>
      <c r="I50">
        <v>0</v>
      </c>
      <c r="J50" t="s">
        <v>247</v>
      </c>
      <c r="K50" s="9">
        <v>110</v>
      </c>
      <c r="L50" s="9">
        <v>37.5</v>
      </c>
      <c r="M50" s="9">
        <v>34</v>
      </c>
      <c r="N50" t="s">
        <v>14</v>
      </c>
      <c r="O50" s="9">
        <v>2.76</v>
      </c>
      <c r="P50" s="9">
        <v>2.6</v>
      </c>
      <c r="Q50" s="9">
        <v>107</v>
      </c>
      <c r="R50" t="s">
        <v>59</v>
      </c>
      <c r="S50" s="7">
        <v>59.5</v>
      </c>
      <c r="V50" s="10" t="s">
        <v>248</v>
      </c>
      <c r="X50" s="10" t="s">
        <v>249</v>
      </c>
      <c r="Y50" s="10" t="s">
        <v>250</v>
      </c>
      <c r="Z50" t="s">
        <v>56</v>
      </c>
    </row>
    <row r="51" spans="1:26">
      <c r="A51">
        <v>154</v>
      </c>
      <c r="B51" t="s">
        <v>165</v>
      </c>
      <c r="C51" t="s">
        <v>166</v>
      </c>
      <c r="D51" t="s">
        <v>167</v>
      </c>
      <c r="E51" t="s">
        <v>48</v>
      </c>
      <c r="F51" t="s">
        <v>168</v>
      </c>
      <c r="G51" t="s">
        <v>155</v>
      </c>
      <c r="H51" t="s">
        <v>10</v>
      </c>
      <c r="I51">
        <v>0</v>
      </c>
      <c r="J51" t="s">
        <v>251</v>
      </c>
      <c r="K51" s="9">
        <v>118</v>
      </c>
      <c r="L51" s="9">
        <v>40.5</v>
      </c>
      <c r="M51" s="9">
        <v>36.5</v>
      </c>
      <c r="N51" t="s">
        <v>14</v>
      </c>
      <c r="O51" s="9">
        <v>2.96</v>
      </c>
      <c r="P51" s="9">
        <v>2.82</v>
      </c>
      <c r="Q51" s="9">
        <v>115</v>
      </c>
      <c r="R51" t="s">
        <v>59</v>
      </c>
      <c r="S51" s="7">
        <v>59.2</v>
      </c>
      <c r="V51" s="10" t="s">
        <v>248</v>
      </c>
      <c r="X51" s="10" t="s">
        <v>252</v>
      </c>
      <c r="Y51" s="10" t="s">
        <v>253</v>
      </c>
      <c r="Z51" t="s">
        <v>56</v>
      </c>
    </row>
    <row r="52" spans="1:26">
      <c r="A52">
        <v>155</v>
      </c>
      <c r="B52" t="s">
        <v>165</v>
      </c>
      <c r="C52" t="s">
        <v>166</v>
      </c>
      <c r="D52" t="s">
        <v>167</v>
      </c>
      <c r="E52" t="s">
        <v>48</v>
      </c>
      <c r="F52" t="s">
        <v>168</v>
      </c>
      <c r="G52" t="s">
        <v>159</v>
      </c>
      <c r="H52" t="s">
        <v>11</v>
      </c>
      <c r="I52">
        <v>1</v>
      </c>
      <c r="K52" s="9">
        <v>125</v>
      </c>
      <c r="L52" s="9">
        <v>43.5</v>
      </c>
      <c r="M52" s="9">
        <v>39.5</v>
      </c>
      <c r="N52" t="s">
        <v>14</v>
      </c>
      <c r="O52" s="9">
        <v>3.2</v>
      </c>
      <c r="P52" s="9">
        <v>3.05</v>
      </c>
      <c r="Q52" s="9">
        <v>122</v>
      </c>
      <c r="S52" s="7">
        <v>59.5</v>
      </c>
      <c r="V52" s="10" t="s">
        <v>254</v>
      </c>
      <c r="X52" s="10" t="s">
        <v>255</v>
      </c>
      <c r="Y52" s="10" t="s">
        <v>162</v>
      </c>
      <c r="Z52" t="s">
        <v>56</v>
      </c>
    </row>
    <row r="53" spans="1:26">
      <c r="A53">
        <v>156</v>
      </c>
      <c r="B53" t="s">
        <v>165</v>
      </c>
      <c r="C53" t="s">
        <v>166</v>
      </c>
      <c r="D53" t="s">
        <v>167</v>
      </c>
      <c r="E53" t="s">
        <v>48</v>
      </c>
      <c r="F53" t="s">
        <v>168</v>
      </c>
      <c r="G53" t="s">
        <v>163</v>
      </c>
      <c r="H53" t="s">
        <v>11</v>
      </c>
      <c r="I53">
        <v>1</v>
      </c>
      <c r="K53" s="9">
        <v>135</v>
      </c>
      <c r="L53" s="9">
        <v>47</v>
      </c>
      <c r="M53" s="9">
        <v>42.5</v>
      </c>
      <c r="N53" t="s">
        <v>14</v>
      </c>
      <c r="O53" s="9">
        <v>3.45</v>
      </c>
      <c r="P53" s="9">
        <v>3.3</v>
      </c>
      <c r="Q53" s="9">
        <v>132</v>
      </c>
      <c r="S53" s="7">
        <v>59</v>
      </c>
      <c r="V53" s="10" t="s">
        <v>256</v>
      </c>
      <c r="X53" s="10" t="s">
        <v>257</v>
      </c>
      <c r="Y53" s="10" t="s">
        <v>162</v>
      </c>
      <c r="Z53" t="s">
        <v>56</v>
      </c>
    </row>
    <row r="54" spans="1:26">
      <c r="A54">
        <v>157</v>
      </c>
      <c r="B54" t="s">
        <v>258</v>
      </c>
      <c r="C54" t="s">
        <v>259</v>
      </c>
      <c r="D54" t="s">
        <v>260</v>
      </c>
      <c r="E54" t="s">
        <v>48</v>
      </c>
      <c r="F54" t="s">
        <v>258</v>
      </c>
      <c r="G54" t="s">
        <v>50</v>
      </c>
      <c r="H54" t="s">
        <v>10</v>
      </c>
      <c r="I54">
        <v>0</v>
      </c>
      <c r="J54" t="s">
        <v>261</v>
      </c>
      <c r="K54" s="9">
        <v>17.74</v>
      </c>
      <c r="L54" s="9">
        <v>5.89</v>
      </c>
      <c r="M54" s="9">
        <v>4.9</v>
      </c>
      <c r="N54" t="s">
        <v>14</v>
      </c>
      <c r="O54" s="9">
        <v>1.71</v>
      </c>
      <c r="P54" s="9">
        <v>1.87</v>
      </c>
      <c r="Q54" s="9">
        <v>17.4</v>
      </c>
      <c r="R54" t="s">
        <v>52</v>
      </c>
      <c r="S54" s="7">
        <v>80.3</v>
      </c>
      <c r="V54" s="10" t="s">
        <v>262</v>
      </c>
      <c r="X54" s="10" t="s">
        <v>263</v>
      </c>
      <c r="Y54" s="10" t="s">
        <v>264</v>
      </c>
      <c r="Z54" t="s">
        <v>56</v>
      </c>
    </row>
    <row r="55" spans="1:26">
      <c r="A55">
        <v>158</v>
      </c>
      <c r="B55" t="s">
        <v>258</v>
      </c>
      <c r="C55" t="s">
        <v>259</v>
      </c>
      <c r="D55" t="s">
        <v>260</v>
      </c>
      <c r="E55" t="s">
        <v>48</v>
      </c>
      <c r="F55" t="s">
        <v>258</v>
      </c>
      <c r="G55" t="s">
        <v>57</v>
      </c>
      <c r="H55" t="s">
        <v>10</v>
      </c>
      <c r="I55">
        <v>0</v>
      </c>
      <c r="J55" t="s">
        <v>58</v>
      </c>
      <c r="K55" s="9">
        <v>18.69</v>
      </c>
      <c r="L55" s="9">
        <v>5.96</v>
      </c>
      <c r="M55" s="9">
        <v>5.18</v>
      </c>
      <c r="N55" t="s">
        <v>14</v>
      </c>
      <c r="O55" s="9">
        <v>1.8</v>
      </c>
      <c r="P55" s="9">
        <v>1.39</v>
      </c>
      <c r="Q55" s="9">
        <v>17.3</v>
      </c>
      <c r="R55" t="s">
        <v>59</v>
      </c>
      <c r="S55" s="7">
        <v>79.8</v>
      </c>
      <c r="V55" s="10" t="s">
        <v>262</v>
      </c>
      <c r="X55" s="10" t="s">
        <v>265</v>
      </c>
      <c r="Y55" s="10" t="s">
        <v>266</v>
      </c>
      <c r="Z55" t="s">
        <v>56</v>
      </c>
    </row>
    <row r="56" spans="1:26">
      <c r="A56">
        <v>159</v>
      </c>
      <c r="B56" t="s">
        <v>258</v>
      </c>
      <c r="C56" t="s">
        <v>259</v>
      </c>
      <c r="D56" t="s">
        <v>260</v>
      </c>
      <c r="E56" t="s">
        <v>48</v>
      </c>
      <c r="F56" t="s">
        <v>258</v>
      </c>
      <c r="G56" t="s">
        <v>62</v>
      </c>
      <c r="H56" t="s">
        <v>10</v>
      </c>
      <c r="I56">
        <v>0</v>
      </c>
      <c r="J56" t="s">
        <v>63</v>
      </c>
      <c r="K56" s="9">
        <v>21.47</v>
      </c>
      <c r="L56" s="9">
        <v>8.050000000000001</v>
      </c>
      <c r="M56" s="9">
        <v>7.85</v>
      </c>
      <c r="N56" t="s">
        <v>14</v>
      </c>
      <c r="O56" s="9">
        <v>2.71</v>
      </c>
      <c r="P56" s="9">
        <v>1.91</v>
      </c>
      <c r="Q56" s="9">
        <v>19.8</v>
      </c>
      <c r="R56" t="s">
        <v>59</v>
      </c>
      <c r="S56" s="7">
        <v>80.5</v>
      </c>
      <c r="V56" s="10" t="s">
        <v>262</v>
      </c>
      <c r="X56" s="10" t="s">
        <v>267</v>
      </c>
      <c r="Y56" s="10" t="s">
        <v>268</v>
      </c>
      <c r="Z56" t="s">
        <v>56</v>
      </c>
    </row>
    <row r="57" spans="1:26">
      <c r="A57">
        <v>160</v>
      </c>
      <c r="B57" t="s">
        <v>258</v>
      </c>
      <c r="C57" t="s">
        <v>259</v>
      </c>
      <c r="D57" t="s">
        <v>260</v>
      </c>
      <c r="E57" t="s">
        <v>48</v>
      </c>
      <c r="F57" t="s">
        <v>258</v>
      </c>
      <c r="G57" t="s">
        <v>66</v>
      </c>
      <c r="H57" t="s">
        <v>10</v>
      </c>
      <c r="I57">
        <v>0</v>
      </c>
      <c r="J57" t="s">
        <v>269</v>
      </c>
      <c r="K57" s="9">
        <v>28.07</v>
      </c>
      <c r="L57" s="9">
        <v>12.88</v>
      </c>
      <c r="M57" s="9">
        <v>11.22</v>
      </c>
      <c r="N57" t="s">
        <v>14</v>
      </c>
      <c r="O57" s="9">
        <v>3.88</v>
      </c>
      <c r="P57" s="9">
        <v>3.22</v>
      </c>
      <c r="Q57" s="9">
        <v>26.5</v>
      </c>
      <c r="R57" t="s">
        <v>59</v>
      </c>
      <c r="S57" s="7">
        <v>81.5</v>
      </c>
      <c r="V57" s="10" t="s">
        <v>270</v>
      </c>
      <c r="X57" s="10" t="s">
        <v>271</v>
      </c>
      <c r="Y57" s="10" t="s">
        <v>272</v>
      </c>
      <c r="Z57" t="s">
        <v>56</v>
      </c>
    </row>
    <row r="58" spans="1:26">
      <c r="A58">
        <v>161</v>
      </c>
      <c r="B58" t="s">
        <v>258</v>
      </c>
      <c r="C58" t="s">
        <v>259</v>
      </c>
      <c r="D58" t="s">
        <v>260</v>
      </c>
      <c r="E58" t="s">
        <v>48</v>
      </c>
      <c r="F58" t="s">
        <v>258</v>
      </c>
      <c r="G58" t="s">
        <v>71</v>
      </c>
      <c r="H58" t="s">
        <v>10</v>
      </c>
      <c r="I58">
        <v>0</v>
      </c>
      <c r="J58" t="s">
        <v>273</v>
      </c>
      <c r="K58" s="9">
        <v>26.17</v>
      </c>
      <c r="L58" s="9">
        <v>11.38</v>
      </c>
      <c r="M58" s="9">
        <v>9.5</v>
      </c>
      <c r="N58" t="s">
        <v>14</v>
      </c>
      <c r="O58" s="9">
        <v>3.3</v>
      </c>
      <c r="P58" s="9">
        <v>2.37</v>
      </c>
      <c r="Q58" s="9">
        <v>23.6</v>
      </c>
      <c r="R58" t="s">
        <v>59</v>
      </c>
      <c r="S58" s="7">
        <v>80.5</v>
      </c>
      <c r="V58" s="10" t="s">
        <v>270</v>
      </c>
      <c r="X58" s="10" t="s">
        <v>274</v>
      </c>
      <c r="Y58" s="10" t="s">
        <v>275</v>
      </c>
      <c r="Z58" t="s">
        <v>56</v>
      </c>
    </row>
    <row r="59" spans="1:26">
      <c r="A59">
        <v>162</v>
      </c>
      <c r="B59" t="s">
        <v>258</v>
      </c>
      <c r="C59" t="s">
        <v>259</v>
      </c>
      <c r="D59" t="s">
        <v>260</v>
      </c>
      <c r="E59" t="s">
        <v>48</v>
      </c>
      <c r="F59" t="s">
        <v>258</v>
      </c>
      <c r="G59" t="s">
        <v>75</v>
      </c>
      <c r="H59" t="s">
        <v>10</v>
      </c>
      <c r="I59">
        <v>0</v>
      </c>
      <c r="J59" t="s">
        <v>276</v>
      </c>
      <c r="K59" s="9">
        <v>29.08</v>
      </c>
      <c r="L59" s="9">
        <v>12.37</v>
      </c>
      <c r="M59" s="9">
        <v>10.39</v>
      </c>
      <c r="N59" t="s">
        <v>14</v>
      </c>
      <c r="O59" s="9">
        <v>3.61</v>
      </c>
      <c r="P59" s="9">
        <v>3.03</v>
      </c>
      <c r="Q59" s="9">
        <v>27.8</v>
      </c>
      <c r="R59" t="s">
        <v>59</v>
      </c>
      <c r="S59" s="7">
        <v>81.3</v>
      </c>
      <c r="V59" s="10" t="s">
        <v>277</v>
      </c>
      <c r="X59" s="10" t="s">
        <v>278</v>
      </c>
      <c r="Y59" s="10" t="s">
        <v>279</v>
      </c>
      <c r="Z59" t="s">
        <v>56</v>
      </c>
    </row>
    <row r="60" spans="1:26">
      <c r="A60">
        <v>163</v>
      </c>
      <c r="B60" t="s">
        <v>258</v>
      </c>
      <c r="C60" t="s">
        <v>259</v>
      </c>
      <c r="D60" t="s">
        <v>260</v>
      </c>
      <c r="E60" t="s">
        <v>48</v>
      </c>
      <c r="F60" t="s">
        <v>258</v>
      </c>
      <c r="G60" t="s">
        <v>80</v>
      </c>
      <c r="H60" t="s">
        <v>10</v>
      </c>
      <c r="I60">
        <v>0</v>
      </c>
      <c r="J60" t="s">
        <v>280</v>
      </c>
      <c r="K60" s="9">
        <v>29.01</v>
      </c>
      <c r="L60" s="9">
        <v>10.42</v>
      </c>
      <c r="M60" s="9">
        <v>9.19</v>
      </c>
      <c r="N60" t="s">
        <v>14</v>
      </c>
      <c r="O60" s="9">
        <v>3.22</v>
      </c>
      <c r="P60" s="9">
        <v>3.19</v>
      </c>
      <c r="Q60" s="9">
        <v>29.6</v>
      </c>
      <c r="R60" t="s">
        <v>100</v>
      </c>
      <c r="S60" s="7">
        <v>80.09999999999999</v>
      </c>
      <c r="V60" s="10" t="s">
        <v>277</v>
      </c>
      <c r="X60" s="10" t="s">
        <v>281</v>
      </c>
      <c r="Y60" s="10" t="s">
        <v>282</v>
      </c>
      <c r="Z60" t="s">
        <v>56</v>
      </c>
    </row>
    <row r="61" spans="1:26">
      <c r="A61">
        <v>164</v>
      </c>
      <c r="B61" t="s">
        <v>258</v>
      </c>
      <c r="C61" t="s">
        <v>259</v>
      </c>
      <c r="D61" t="s">
        <v>260</v>
      </c>
      <c r="E61" t="s">
        <v>48</v>
      </c>
      <c r="F61" t="s">
        <v>258</v>
      </c>
      <c r="G61" t="s">
        <v>85</v>
      </c>
      <c r="H61" t="s">
        <v>10</v>
      </c>
      <c r="I61">
        <v>0</v>
      </c>
      <c r="J61" t="s">
        <v>283</v>
      </c>
      <c r="K61" s="9">
        <v>33.67</v>
      </c>
      <c r="L61" s="9">
        <v>12.59</v>
      </c>
      <c r="M61" s="9">
        <v>10.29</v>
      </c>
      <c r="N61" t="s">
        <v>14</v>
      </c>
      <c r="O61" s="9">
        <v>3.67</v>
      </c>
      <c r="P61" s="9">
        <v>3.84</v>
      </c>
      <c r="Q61" s="9">
        <v>33.4</v>
      </c>
      <c r="R61" t="s">
        <v>52</v>
      </c>
      <c r="S61" s="7">
        <v>80.7</v>
      </c>
      <c r="V61" s="10" t="s">
        <v>284</v>
      </c>
      <c r="X61" s="10" t="s">
        <v>285</v>
      </c>
      <c r="Y61" s="10" t="s">
        <v>286</v>
      </c>
      <c r="Z61" t="s">
        <v>56</v>
      </c>
    </row>
    <row r="62" spans="1:26">
      <c r="A62">
        <v>165</v>
      </c>
      <c r="B62" t="s">
        <v>258</v>
      </c>
      <c r="C62" t="s">
        <v>259</v>
      </c>
      <c r="D62" t="s">
        <v>260</v>
      </c>
      <c r="E62" t="s">
        <v>48</v>
      </c>
      <c r="F62" t="s">
        <v>258</v>
      </c>
      <c r="G62" t="s">
        <v>89</v>
      </c>
      <c r="H62" t="s">
        <v>10</v>
      </c>
      <c r="I62">
        <v>0</v>
      </c>
      <c r="J62" t="s">
        <v>287</v>
      </c>
      <c r="K62" s="9">
        <v>27.91</v>
      </c>
      <c r="L62" s="9">
        <v>7.47</v>
      </c>
      <c r="M62" s="9">
        <v>7.47</v>
      </c>
      <c r="N62" t="s">
        <v>14</v>
      </c>
      <c r="O62" s="9">
        <v>2.72</v>
      </c>
      <c r="P62" s="9">
        <v>2.56</v>
      </c>
      <c r="Q62" s="9">
        <v>28.3</v>
      </c>
      <c r="R62" t="s">
        <v>52</v>
      </c>
      <c r="S62" s="7">
        <v>78.5</v>
      </c>
      <c r="V62" s="10" t="s">
        <v>288</v>
      </c>
      <c r="X62" s="10" t="s">
        <v>289</v>
      </c>
      <c r="Y62" s="10" t="s">
        <v>290</v>
      </c>
      <c r="Z62" t="s">
        <v>56</v>
      </c>
    </row>
    <row r="63" spans="1:26">
      <c r="A63">
        <v>166</v>
      </c>
      <c r="B63" t="s">
        <v>258</v>
      </c>
      <c r="C63" t="s">
        <v>259</v>
      </c>
      <c r="D63" t="s">
        <v>260</v>
      </c>
      <c r="E63" t="s">
        <v>48</v>
      </c>
      <c r="F63" t="s">
        <v>258</v>
      </c>
      <c r="G63" t="s">
        <v>93</v>
      </c>
      <c r="H63" t="s">
        <v>10</v>
      </c>
      <c r="I63">
        <v>0</v>
      </c>
      <c r="J63" t="s">
        <v>291</v>
      </c>
      <c r="K63" s="9">
        <v>28.82</v>
      </c>
      <c r="L63" s="9">
        <v>8.359999999999999</v>
      </c>
      <c r="M63" s="9">
        <v>6.69</v>
      </c>
      <c r="N63" t="s">
        <v>14</v>
      </c>
      <c r="O63" s="9">
        <v>2.46</v>
      </c>
      <c r="P63" s="9">
        <v>2.59</v>
      </c>
      <c r="Q63" s="9">
        <v>29</v>
      </c>
      <c r="R63" t="s">
        <v>52</v>
      </c>
      <c r="S63" s="7">
        <v>81.90000000000001</v>
      </c>
      <c r="V63" s="10" t="s">
        <v>292</v>
      </c>
      <c r="X63" s="10" t="s">
        <v>293</v>
      </c>
      <c r="Y63" s="10" t="s">
        <v>294</v>
      </c>
      <c r="Z63" t="s">
        <v>56</v>
      </c>
    </row>
    <row r="64" spans="1:26">
      <c r="A64">
        <v>167</v>
      </c>
      <c r="B64" t="s">
        <v>258</v>
      </c>
      <c r="C64" t="s">
        <v>259</v>
      </c>
      <c r="D64" t="s">
        <v>260</v>
      </c>
      <c r="E64" t="s">
        <v>48</v>
      </c>
      <c r="F64" t="s">
        <v>258</v>
      </c>
      <c r="G64" t="s">
        <v>98</v>
      </c>
      <c r="H64" t="s">
        <v>10</v>
      </c>
      <c r="I64">
        <v>0</v>
      </c>
      <c r="J64" t="s">
        <v>295</v>
      </c>
      <c r="K64" s="9">
        <v>27.71</v>
      </c>
      <c r="L64" s="9">
        <v>5.66</v>
      </c>
      <c r="M64" s="9">
        <v>4.4</v>
      </c>
      <c r="N64" t="s">
        <v>14</v>
      </c>
      <c r="O64" s="9">
        <v>1.64</v>
      </c>
      <c r="P64" s="9">
        <v>1.89</v>
      </c>
      <c r="Q64" s="9">
        <v>27.5</v>
      </c>
      <c r="R64" t="s">
        <v>52</v>
      </c>
      <c r="S64" s="7">
        <v>79.2</v>
      </c>
      <c r="V64" s="10" t="s">
        <v>296</v>
      </c>
      <c r="X64" s="10" t="s">
        <v>297</v>
      </c>
      <c r="Y64" s="10" t="s">
        <v>298</v>
      </c>
      <c r="Z64" t="s">
        <v>56</v>
      </c>
    </row>
    <row r="65" spans="1:26">
      <c r="A65">
        <v>168</v>
      </c>
      <c r="B65" t="s">
        <v>258</v>
      </c>
      <c r="C65" t="s">
        <v>259</v>
      </c>
      <c r="D65" t="s">
        <v>260</v>
      </c>
      <c r="E65" t="s">
        <v>48</v>
      </c>
      <c r="F65" t="s">
        <v>258</v>
      </c>
      <c r="G65" t="s">
        <v>103</v>
      </c>
      <c r="H65" t="s">
        <v>10</v>
      </c>
      <c r="I65">
        <v>0</v>
      </c>
      <c r="J65" t="s">
        <v>299</v>
      </c>
      <c r="K65" s="9">
        <v>32.17</v>
      </c>
      <c r="L65" s="9">
        <v>6.4</v>
      </c>
      <c r="M65" s="9">
        <v>4.65</v>
      </c>
      <c r="N65" t="s">
        <v>14</v>
      </c>
      <c r="O65" s="9">
        <v>1.76</v>
      </c>
      <c r="P65" s="9">
        <v>2.22</v>
      </c>
      <c r="Q65" s="9">
        <v>31.5</v>
      </c>
      <c r="R65" t="s">
        <v>52</v>
      </c>
      <c r="S65" s="7">
        <v>73.8</v>
      </c>
      <c r="V65" s="10" t="s">
        <v>292</v>
      </c>
      <c r="X65" s="10" t="s">
        <v>300</v>
      </c>
      <c r="Y65" s="10" t="s">
        <v>301</v>
      </c>
      <c r="Z65" t="s">
        <v>56</v>
      </c>
    </row>
    <row r="66" spans="1:26">
      <c r="A66">
        <v>169</v>
      </c>
      <c r="B66" t="s">
        <v>258</v>
      </c>
      <c r="C66" t="s">
        <v>259</v>
      </c>
      <c r="D66" t="s">
        <v>260</v>
      </c>
      <c r="E66" t="s">
        <v>48</v>
      </c>
      <c r="F66" t="s">
        <v>258</v>
      </c>
      <c r="G66" t="s">
        <v>107</v>
      </c>
      <c r="H66" t="s">
        <v>10</v>
      </c>
      <c r="I66">
        <v>0</v>
      </c>
      <c r="J66" t="s">
        <v>302</v>
      </c>
      <c r="K66" s="9">
        <v>28.65</v>
      </c>
      <c r="L66" s="9">
        <v>7.22</v>
      </c>
      <c r="M66" s="9">
        <v>5.71</v>
      </c>
      <c r="N66" t="s">
        <v>14</v>
      </c>
      <c r="O66" s="9">
        <v>2.2</v>
      </c>
      <c r="P66" s="9">
        <v>2.03</v>
      </c>
      <c r="Q66" s="9">
        <v>27.7</v>
      </c>
      <c r="R66" t="s">
        <v>59</v>
      </c>
      <c r="S66" s="7">
        <v>78.5</v>
      </c>
      <c r="V66" s="10" t="s">
        <v>292</v>
      </c>
      <c r="X66" s="10" t="s">
        <v>303</v>
      </c>
      <c r="Y66" s="10" t="s">
        <v>304</v>
      </c>
      <c r="Z66" t="s">
        <v>56</v>
      </c>
    </row>
    <row r="67" spans="1:26">
      <c r="A67">
        <v>170</v>
      </c>
      <c r="B67" t="s">
        <v>258</v>
      </c>
      <c r="C67" t="s">
        <v>259</v>
      </c>
      <c r="D67" t="s">
        <v>260</v>
      </c>
      <c r="E67" t="s">
        <v>48</v>
      </c>
      <c r="F67" t="s">
        <v>258</v>
      </c>
      <c r="G67" t="s">
        <v>112</v>
      </c>
      <c r="H67" t="s">
        <v>10</v>
      </c>
      <c r="I67">
        <v>0</v>
      </c>
      <c r="J67" t="s">
        <v>305</v>
      </c>
      <c r="K67" s="9">
        <v>32</v>
      </c>
      <c r="L67" s="9">
        <v>9.390000000000001</v>
      </c>
      <c r="M67" s="9">
        <v>7.79</v>
      </c>
      <c r="N67" t="s">
        <v>14</v>
      </c>
      <c r="O67" s="9">
        <v>2.98</v>
      </c>
      <c r="P67" s="9">
        <v>2.91</v>
      </c>
      <c r="Q67" s="9">
        <v>31.1</v>
      </c>
      <c r="R67" t="s">
        <v>59</v>
      </c>
      <c r="S67" s="7">
        <v>81.40000000000001</v>
      </c>
      <c r="V67" s="10" t="s">
        <v>296</v>
      </c>
      <c r="X67" s="10" t="s">
        <v>306</v>
      </c>
      <c r="Y67" s="10" t="s">
        <v>307</v>
      </c>
      <c r="Z67" t="s">
        <v>56</v>
      </c>
    </row>
    <row r="68" spans="1:26">
      <c r="A68">
        <v>171</v>
      </c>
      <c r="B68" t="s">
        <v>258</v>
      </c>
      <c r="C68" t="s">
        <v>259</v>
      </c>
      <c r="D68" t="s">
        <v>260</v>
      </c>
      <c r="E68" t="s">
        <v>48</v>
      </c>
      <c r="F68" t="s">
        <v>258</v>
      </c>
      <c r="G68" t="s">
        <v>116</v>
      </c>
      <c r="H68" t="s">
        <v>10</v>
      </c>
      <c r="I68">
        <v>0</v>
      </c>
      <c r="J68" t="s">
        <v>308</v>
      </c>
      <c r="K68" s="9">
        <v>34.15</v>
      </c>
      <c r="L68" s="9">
        <v>13.75</v>
      </c>
      <c r="M68" s="9">
        <v>11.58</v>
      </c>
      <c r="N68" t="s">
        <v>14</v>
      </c>
      <c r="O68" s="9">
        <v>4.39</v>
      </c>
      <c r="P68" s="9">
        <v>3.63</v>
      </c>
      <c r="Q68" s="9">
        <v>33.5</v>
      </c>
      <c r="R68" t="s">
        <v>59</v>
      </c>
      <c r="S68" s="7">
        <v>81.8</v>
      </c>
      <c r="V68" s="10" t="s">
        <v>296</v>
      </c>
      <c r="X68" s="10" t="s">
        <v>309</v>
      </c>
      <c r="Y68" s="10" t="s">
        <v>310</v>
      </c>
      <c r="Z68" t="s">
        <v>56</v>
      </c>
    </row>
    <row r="69" spans="1:26">
      <c r="A69">
        <v>172</v>
      </c>
      <c r="B69" t="s">
        <v>258</v>
      </c>
      <c r="C69" t="s">
        <v>259</v>
      </c>
      <c r="D69" t="s">
        <v>260</v>
      </c>
      <c r="E69" t="s">
        <v>48</v>
      </c>
      <c r="F69" t="s">
        <v>258</v>
      </c>
      <c r="G69" t="s">
        <v>120</v>
      </c>
      <c r="H69" t="s">
        <v>10</v>
      </c>
      <c r="I69">
        <v>0</v>
      </c>
      <c r="J69" t="s">
        <v>121</v>
      </c>
      <c r="K69" s="9">
        <v>40.11</v>
      </c>
      <c r="L69" s="9">
        <v>16.38</v>
      </c>
      <c r="M69" s="9">
        <v>14.02</v>
      </c>
      <c r="N69" t="s">
        <v>14</v>
      </c>
      <c r="O69" s="9">
        <v>5.33</v>
      </c>
      <c r="P69" s="9">
        <v>4.96</v>
      </c>
      <c r="Q69" s="9">
        <v>39</v>
      </c>
      <c r="R69" t="s">
        <v>59</v>
      </c>
      <c r="S69" s="7">
        <v>80.8</v>
      </c>
      <c r="V69" s="10" t="s">
        <v>288</v>
      </c>
      <c r="X69" s="10" t="s">
        <v>311</v>
      </c>
      <c r="Y69" s="10" t="s">
        <v>312</v>
      </c>
      <c r="Z69" t="s">
        <v>56</v>
      </c>
    </row>
    <row r="70" spans="1:26">
      <c r="A70">
        <v>173</v>
      </c>
      <c r="B70" t="s">
        <v>258</v>
      </c>
      <c r="C70" t="s">
        <v>259</v>
      </c>
      <c r="D70" t="s">
        <v>260</v>
      </c>
      <c r="E70" t="s">
        <v>48</v>
      </c>
      <c r="F70" t="s">
        <v>258</v>
      </c>
      <c r="G70" t="s">
        <v>124</v>
      </c>
      <c r="H70" t="s">
        <v>10</v>
      </c>
      <c r="I70">
        <v>0</v>
      </c>
      <c r="J70" t="s">
        <v>313</v>
      </c>
      <c r="K70" s="9">
        <v>36.46</v>
      </c>
      <c r="L70" s="9">
        <v>13.82</v>
      </c>
      <c r="M70" s="9">
        <v>12.37</v>
      </c>
      <c r="N70" t="s">
        <v>14</v>
      </c>
      <c r="O70" s="9">
        <v>4.71</v>
      </c>
      <c r="P70" s="9">
        <v>4.32</v>
      </c>
      <c r="Q70" s="9">
        <v>36.1</v>
      </c>
      <c r="R70" t="s">
        <v>59</v>
      </c>
      <c r="S70" s="7">
        <v>81.8</v>
      </c>
      <c r="V70" s="10" t="s">
        <v>296</v>
      </c>
      <c r="X70" s="10" t="s">
        <v>314</v>
      </c>
      <c r="Y70" s="10" t="s">
        <v>315</v>
      </c>
      <c r="Z70" t="s">
        <v>56</v>
      </c>
    </row>
    <row r="71" spans="1:26">
      <c r="A71">
        <v>174</v>
      </c>
      <c r="B71" t="s">
        <v>258</v>
      </c>
      <c r="C71" t="s">
        <v>259</v>
      </c>
      <c r="D71" t="s">
        <v>260</v>
      </c>
      <c r="E71" t="s">
        <v>48</v>
      </c>
      <c r="F71" t="s">
        <v>258</v>
      </c>
      <c r="G71" t="s">
        <v>128</v>
      </c>
      <c r="H71" t="s">
        <v>10</v>
      </c>
      <c r="I71">
        <v>0</v>
      </c>
      <c r="J71" t="s">
        <v>316</v>
      </c>
      <c r="K71" s="9">
        <v>39.07</v>
      </c>
      <c r="L71" s="9">
        <v>14.85</v>
      </c>
      <c r="M71" s="9">
        <v>13.47</v>
      </c>
      <c r="N71" t="s">
        <v>14</v>
      </c>
      <c r="O71" s="9">
        <v>5.16</v>
      </c>
      <c r="P71" s="9">
        <v>4.73</v>
      </c>
      <c r="Q71" s="9">
        <v>38.3</v>
      </c>
      <c r="R71" t="s">
        <v>59</v>
      </c>
      <c r="S71" s="7">
        <v>81.40000000000001</v>
      </c>
      <c r="V71" s="10" t="s">
        <v>296</v>
      </c>
      <c r="X71" s="10" t="s">
        <v>317</v>
      </c>
      <c r="Y71" s="10" t="s">
        <v>318</v>
      </c>
      <c r="Z71" t="s">
        <v>56</v>
      </c>
    </row>
    <row r="72" spans="1:26">
      <c r="A72">
        <v>175</v>
      </c>
      <c r="B72" t="s">
        <v>258</v>
      </c>
      <c r="C72" t="s">
        <v>259</v>
      </c>
      <c r="D72" t="s">
        <v>260</v>
      </c>
      <c r="E72" t="s">
        <v>48</v>
      </c>
      <c r="F72" t="s">
        <v>258</v>
      </c>
      <c r="G72" t="s">
        <v>133</v>
      </c>
      <c r="H72" t="s">
        <v>10</v>
      </c>
      <c r="I72">
        <v>0</v>
      </c>
      <c r="J72" t="s">
        <v>319</v>
      </c>
      <c r="K72" s="9">
        <v>40.59</v>
      </c>
      <c r="L72" s="9">
        <v>17.35</v>
      </c>
      <c r="M72" s="9">
        <v>15.69</v>
      </c>
      <c r="N72" t="s">
        <v>14</v>
      </c>
      <c r="O72" s="9">
        <v>6.03</v>
      </c>
      <c r="P72" s="9">
        <v>5.25</v>
      </c>
      <c r="Q72" s="9">
        <v>40.2</v>
      </c>
      <c r="R72" t="s">
        <v>59</v>
      </c>
      <c r="S72" s="7">
        <v>81.90000000000001</v>
      </c>
      <c r="V72" s="10" t="s">
        <v>296</v>
      </c>
      <c r="X72" s="10" t="s">
        <v>320</v>
      </c>
      <c r="Y72" s="10" t="s">
        <v>321</v>
      </c>
      <c r="Z72" t="s">
        <v>56</v>
      </c>
    </row>
    <row r="73" spans="1:26">
      <c r="A73">
        <v>176</v>
      </c>
      <c r="B73" t="s">
        <v>258</v>
      </c>
      <c r="C73" t="s">
        <v>259</v>
      </c>
      <c r="D73" t="s">
        <v>260</v>
      </c>
      <c r="E73" t="s">
        <v>48</v>
      </c>
      <c r="F73" t="s">
        <v>258</v>
      </c>
      <c r="G73" t="s">
        <v>137</v>
      </c>
      <c r="H73" t="s">
        <v>10</v>
      </c>
      <c r="I73">
        <v>0</v>
      </c>
      <c r="J73" t="s">
        <v>322</v>
      </c>
      <c r="K73" s="9">
        <v>48.39</v>
      </c>
      <c r="L73" s="9">
        <v>21.46</v>
      </c>
      <c r="M73" s="9">
        <v>20.84</v>
      </c>
      <c r="N73" t="s">
        <v>14</v>
      </c>
      <c r="O73" s="9">
        <v>8.02</v>
      </c>
      <c r="P73" s="9">
        <v>6.77</v>
      </c>
      <c r="Q73" s="9">
        <v>46.8</v>
      </c>
      <c r="R73" t="s">
        <v>59</v>
      </c>
      <c r="S73" s="7">
        <v>82</v>
      </c>
      <c r="V73" s="10" t="s">
        <v>292</v>
      </c>
      <c r="X73" s="10" t="s">
        <v>323</v>
      </c>
      <c r="Y73" s="10" t="s">
        <v>324</v>
      </c>
      <c r="Z73" t="s">
        <v>56</v>
      </c>
    </row>
    <row r="74" spans="1:26">
      <c r="A74">
        <v>177</v>
      </c>
      <c r="B74" t="s">
        <v>258</v>
      </c>
      <c r="C74" t="s">
        <v>259</v>
      </c>
      <c r="D74" t="s">
        <v>260</v>
      </c>
      <c r="E74" t="s">
        <v>48</v>
      </c>
      <c r="F74" t="s">
        <v>258</v>
      </c>
      <c r="G74" t="s">
        <v>141</v>
      </c>
      <c r="H74" t="s">
        <v>10</v>
      </c>
      <c r="I74">
        <v>0</v>
      </c>
      <c r="J74" t="s">
        <v>325</v>
      </c>
      <c r="K74" s="9">
        <v>42.31</v>
      </c>
      <c r="L74" s="9">
        <v>17.56</v>
      </c>
      <c r="M74" s="9">
        <v>16.64</v>
      </c>
      <c r="N74" t="s">
        <v>14</v>
      </c>
      <c r="O74" s="9">
        <v>6.43</v>
      </c>
      <c r="P74" s="9">
        <v>5.28</v>
      </c>
      <c r="Q74" s="9">
        <v>41.5</v>
      </c>
      <c r="R74" t="s">
        <v>59</v>
      </c>
      <c r="S74" s="7">
        <v>82.5</v>
      </c>
      <c r="V74" s="10" t="s">
        <v>326</v>
      </c>
      <c r="X74" s="10" t="s">
        <v>327</v>
      </c>
      <c r="Y74" s="10" t="s">
        <v>328</v>
      </c>
      <c r="Z74" t="s">
        <v>56</v>
      </c>
    </row>
    <row r="75" spans="1:26">
      <c r="A75">
        <v>178</v>
      </c>
      <c r="B75" t="s">
        <v>258</v>
      </c>
      <c r="C75" t="s">
        <v>259</v>
      </c>
      <c r="D75" t="s">
        <v>260</v>
      </c>
      <c r="E75" t="s">
        <v>48</v>
      </c>
      <c r="F75" t="s">
        <v>258</v>
      </c>
      <c r="G75" t="s">
        <v>146</v>
      </c>
      <c r="H75" t="s">
        <v>10</v>
      </c>
      <c r="I75">
        <v>0</v>
      </c>
      <c r="J75" t="s">
        <v>329</v>
      </c>
      <c r="K75" s="9">
        <v>47.516</v>
      </c>
      <c r="L75" s="9">
        <v>20.441</v>
      </c>
      <c r="M75" s="9">
        <v>19.93</v>
      </c>
      <c r="N75" t="s">
        <v>14</v>
      </c>
      <c r="O75" s="9">
        <v>7.69</v>
      </c>
      <c r="P75" s="9">
        <v>6.95</v>
      </c>
      <c r="Q75" s="9">
        <v>48</v>
      </c>
      <c r="R75" t="s">
        <v>59</v>
      </c>
      <c r="S75" s="7">
        <v>82.8</v>
      </c>
      <c r="T75" s="7">
        <v>43</v>
      </c>
      <c r="V75" s="10" t="s">
        <v>262</v>
      </c>
      <c r="X75" s="10" t="s">
        <v>330</v>
      </c>
      <c r="Y75" s="10" t="s">
        <v>331</v>
      </c>
      <c r="Z75" t="s">
        <v>56</v>
      </c>
    </row>
    <row r="76" spans="1:26">
      <c r="A76">
        <v>179</v>
      </c>
      <c r="B76" t="s">
        <v>258</v>
      </c>
      <c r="C76" t="s">
        <v>259</v>
      </c>
      <c r="D76" t="s">
        <v>260</v>
      </c>
      <c r="E76" t="s">
        <v>48</v>
      </c>
      <c r="F76" t="s">
        <v>258</v>
      </c>
      <c r="G76" t="s">
        <v>150</v>
      </c>
      <c r="H76" t="s">
        <v>10</v>
      </c>
      <c r="I76">
        <v>0</v>
      </c>
      <c r="J76" t="s">
        <v>151</v>
      </c>
      <c r="K76" s="9">
        <v>55</v>
      </c>
      <c r="L76" s="9">
        <v>24.5</v>
      </c>
      <c r="M76" s="9">
        <v>22.5</v>
      </c>
      <c r="N76" t="s">
        <v>14</v>
      </c>
      <c r="O76" s="9">
        <v>8.699999999999999</v>
      </c>
      <c r="P76" s="9">
        <v>8.1</v>
      </c>
      <c r="Q76" s="9">
        <v>53.5</v>
      </c>
      <c r="R76" t="s">
        <v>59</v>
      </c>
      <c r="S76" s="7">
        <v>83</v>
      </c>
      <c r="V76" s="10" t="s">
        <v>332</v>
      </c>
      <c r="X76" s="10" t="s">
        <v>333</v>
      </c>
      <c r="Y76" s="10" t="s">
        <v>334</v>
      </c>
      <c r="Z76" t="s">
        <v>56</v>
      </c>
    </row>
    <row r="77" spans="1:26">
      <c r="A77">
        <v>180</v>
      </c>
      <c r="B77" t="s">
        <v>258</v>
      </c>
      <c r="C77" t="s">
        <v>259</v>
      </c>
      <c r="D77" t="s">
        <v>260</v>
      </c>
      <c r="E77" t="s">
        <v>48</v>
      </c>
      <c r="F77" t="s">
        <v>258</v>
      </c>
      <c r="G77" t="s">
        <v>155</v>
      </c>
      <c r="H77" t="s">
        <v>10</v>
      </c>
      <c r="I77">
        <v>0</v>
      </c>
      <c r="J77" t="s">
        <v>335</v>
      </c>
      <c r="K77" s="9">
        <v>60</v>
      </c>
      <c r="L77" s="9">
        <v>27</v>
      </c>
      <c r="M77" s="9">
        <v>25</v>
      </c>
      <c r="N77" t="s">
        <v>14</v>
      </c>
      <c r="O77" s="9">
        <v>9.65</v>
      </c>
      <c r="P77" s="9">
        <v>9</v>
      </c>
      <c r="Q77" s="9">
        <v>58.5</v>
      </c>
      <c r="R77" t="s">
        <v>59</v>
      </c>
      <c r="S77" s="7">
        <v>83.2</v>
      </c>
      <c r="V77" s="10" t="s">
        <v>336</v>
      </c>
      <c r="X77" s="10" t="s">
        <v>337</v>
      </c>
      <c r="Y77" s="10" t="s">
        <v>338</v>
      </c>
      <c r="Z77" t="s">
        <v>56</v>
      </c>
    </row>
    <row r="78" spans="1:26">
      <c r="A78">
        <v>181</v>
      </c>
      <c r="B78" t="s">
        <v>258</v>
      </c>
      <c r="C78" t="s">
        <v>259</v>
      </c>
      <c r="D78" t="s">
        <v>260</v>
      </c>
      <c r="E78" t="s">
        <v>48</v>
      </c>
      <c r="F78" t="s">
        <v>258</v>
      </c>
      <c r="G78" t="s">
        <v>159</v>
      </c>
      <c r="H78" t="s">
        <v>11</v>
      </c>
      <c r="I78">
        <v>1</v>
      </c>
      <c r="K78" s="9">
        <v>63</v>
      </c>
      <c r="L78" s="9">
        <v>28.5</v>
      </c>
      <c r="M78" s="9">
        <v>26.2</v>
      </c>
      <c r="N78" t="s">
        <v>14</v>
      </c>
      <c r="O78" s="9">
        <v>10.1</v>
      </c>
      <c r="P78" s="9">
        <v>9.6</v>
      </c>
      <c r="Q78" s="9">
        <v>61.5</v>
      </c>
      <c r="S78" s="7">
        <v>83.5</v>
      </c>
      <c r="V78" s="10" t="s">
        <v>339</v>
      </c>
      <c r="X78" s="10" t="s">
        <v>340</v>
      </c>
      <c r="Y78" s="10" t="s">
        <v>162</v>
      </c>
      <c r="Z78" t="s">
        <v>56</v>
      </c>
    </row>
    <row r="79" spans="1:26">
      <c r="A79">
        <v>182</v>
      </c>
      <c r="B79" t="s">
        <v>258</v>
      </c>
      <c r="C79" t="s">
        <v>259</v>
      </c>
      <c r="D79" t="s">
        <v>260</v>
      </c>
      <c r="E79" t="s">
        <v>48</v>
      </c>
      <c r="F79" t="s">
        <v>258</v>
      </c>
      <c r="G79" t="s">
        <v>163</v>
      </c>
      <c r="H79" t="s">
        <v>11</v>
      </c>
      <c r="I79">
        <v>1</v>
      </c>
      <c r="K79" s="9">
        <v>72</v>
      </c>
      <c r="L79" s="9">
        <v>33</v>
      </c>
      <c r="M79" s="9">
        <v>30.5</v>
      </c>
      <c r="N79" t="s">
        <v>14</v>
      </c>
      <c r="O79" s="9">
        <v>11.7</v>
      </c>
      <c r="P79" s="9">
        <v>11</v>
      </c>
      <c r="Q79" s="9">
        <v>70</v>
      </c>
      <c r="S79" s="7">
        <v>83</v>
      </c>
      <c r="V79" s="10" t="s">
        <v>339</v>
      </c>
      <c r="X79" s="10" t="s">
        <v>341</v>
      </c>
      <c r="Y79" s="10" t="s">
        <v>162</v>
      </c>
      <c r="Z79" t="s">
        <v>56</v>
      </c>
    </row>
    <row r="80" spans="1:26">
      <c r="A80">
        <v>105</v>
      </c>
      <c r="B80" t="s">
        <v>342</v>
      </c>
      <c r="C80" t="s">
        <v>343</v>
      </c>
      <c r="D80" t="s">
        <v>344</v>
      </c>
      <c r="E80" t="s">
        <v>48</v>
      </c>
      <c r="F80" t="s">
        <v>345</v>
      </c>
      <c r="G80" t="s">
        <v>50</v>
      </c>
      <c r="H80" t="s">
        <v>10</v>
      </c>
      <c r="I80">
        <v>0</v>
      </c>
      <c r="J80" t="s">
        <v>261</v>
      </c>
      <c r="K80" s="9">
        <v>35.02</v>
      </c>
      <c r="L80" s="9">
        <v>12.98</v>
      </c>
      <c r="M80" s="9">
        <v>10.75</v>
      </c>
      <c r="N80" t="s">
        <v>14</v>
      </c>
      <c r="O80" s="9">
        <v>1.4</v>
      </c>
      <c r="P80" s="9">
        <v>1.26</v>
      </c>
      <c r="Q80" s="9">
        <v>33.6</v>
      </c>
      <c r="R80" t="s">
        <v>59</v>
      </c>
      <c r="S80" s="7">
        <v>69.2</v>
      </c>
      <c r="V80" s="10" t="s">
        <v>346</v>
      </c>
      <c r="X80" s="10" t="s">
        <v>347</v>
      </c>
      <c r="Y80" s="10" t="s">
        <v>348</v>
      </c>
      <c r="Z80" t="s">
        <v>56</v>
      </c>
    </row>
    <row r="81" spans="1:26">
      <c r="A81">
        <v>106</v>
      </c>
      <c r="B81" t="s">
        <v>342</v>
      </c>
      <c r="C81" t="s">
        <v>343</v>
      </c>
      <c r="D81" t="s">
        <v>344</v>
      </c>
      <c r="E81" t="s">
        <v>48</v>
      </c>
      <c r="F81" t="s">
        <v>345</v>
      </c>
      <c r="G81" t="s">
        <v>57</v>
      </c>
      <c r="H81" t="s">
        <v>10</v>
      </c>
      <c r="I81">
        <v>0</v>
      </c>
      <c r="J81" t="s">
        <v>349</v>
      </c>
      <c r="K81" s="9">
        <v>38.03</v>
      </c>
      <c r="L81" s="9">
        <v>13.41</v>
      </c>
      <c r="M81" s="9">
        <v>11.2</v>
      </c>
      <c r="N81" t="s">
        <v>14</v>
      </c>
      <c r="O81" s="9">
        <v>1.46</v>
      </c>
      <c r="P81" s="9">
        <v>1.37</v>
      </c>
      <c r="Q81" s="9">
        <v>36.5</v>
      </c>
      <c r="R81" t="s">
        <v>59</v>
      </c>
      <c r="S81" s="7">
        <v>67.8</v>
      </c>
      <c r="V81" s="10" t="s">
        <v>350</v>
      </c>
      <c r="X81" s="10" t="s">
        <v>351</v>
      </c>
      <c r="Y81" s="10" t="s">
        <v>352</v>
      </c>
      <c r="Z81" t="s">
        <v>56</v>
      </c>
    </row>
    <row r="82" spans="1:26">
      <c r="A82">
        <v>107</v>
      </c>
      <c r="B82" t="s">
        <v>342</v>
      </c>
      <c r="C82" t="s">
        <v>343</v>
      </c>
      <c r="D82" t="s">
        <v>344</v>
      </c>
      <c r="E82" t="s">
        <v>48</v>
      </c>
      <c r="F82" t="s">
        <v>345</v>
      </c>
      <c r="G82" t="s">
        <v>62</v>
      </c>
      <c r="H82" t="s">
        <v>10</v>
      </c>
      <c r="I82">
        <v>0</v>
      </c>
      <c r="J82" t="s">
        <v>353</v>
      </c>
      <c r="K82" s="9">
        <v>37.15</v>
      </c>
      <c r="L82" s="9">
        <v>15.88</v>
      </c>
      <c r="M82" s="9">
        <v>13.89</v>
      </c>
      <c r="N82" t="s">
        <v>14</v>
      </c>
      <c r="O82" s="9">
        <v>1.82</v>
      </c>
      <c r="P82" s="9">
        <v>1.54</v>
      </c>
      <c r="Q82" s="9">
        <v>35.8</v>
      </c>
      <c r="R82" t="s">
        <v>59</v>
      </c>
      <c r="S82" s="7">
        <v>70.09999999999999</v>
      </c>
      <c r="V82" s="10" t="s">
        <v>346</v>
      </c>
      <c r="X82" s="10" t="s">
        <v>354</v>
      </c>
      <c r="Y82" s="10" t="s">
        <v>355</v>
      </c>
      <c r="Z82" t="s">
        <v>56</v>
      </c>
    </row>
    <row r="83" spans="1:26">
      <c r="A83">
        <v>108</v>
      </c>
      <c r="B83" t="s">
        <v>342</v>
      </c>
      <c r="C83" t="s">
        <v>343</v>
      </c>
      <c r="D83" t="s">
        <v>344</v>
      </c>
      <c r="E83" t="s">
        <v>48</v>
      </c>
      <c r="F83" t="s">
        <v>345</v>
      </c>
      <c r="G83" t="s">
        <v>66</v>
      </c>
      <c r="H83" t="s">
        <v>10</v>
      </c>
      <c r="I83">
        <v>0</v>
      </c>
      <c r="J83" t="s">
        <v>356</v>
      </c>
      <c r="K83" s="9">
        <v>43.08</v>
      </c>
      <c r="L83" s="9">
        <v>17.9</v>
      </c>
      <c r="M83" s="9">
        <v>15.46</v>
      </c>
      <c r="N83" t="s">
        <v>14</v>
      </c>
      <c r="O83" s="9">
        <v>2.03</v>
      </c>
      <c r="P83" s="9">
        <v>1.64</v>
      </c>
      <c r="Q83" s="9">
        <v>40.2</v>
      </c>
      <c r="R83" t="s">
        <v>59</v>
      </c>
      <c r="S83" s="7">
        <v>68.5</v>
      </c>
      <c r="V83" s="10" t="s">
        <v>357</v>
      </c>
      <c r="X83" s="10" t="s">
        <v>358</v>
      </c>
      <c r="Y83" s="10" t="s">
        <v>359</v>
      </c>
      <c r="Z83" t="s">
        <v>56</v>
      </c>
    </row>
    <row r="84" spans="1:26">
      <c r="A84">
        <v>109</v>
      </c>
      <c r="B84" t="s">
        <v>342</v>
      </c>
      <c r="C84" t="s">
        <v>343</v>
      </c>
      <c r="D84" t="s">
        <v>344</v>
      </c>
      <c r="E84" t="s">
        <v>48</v>
      </c>
      <c r="F84" t="s">
        <v>345</v>
      </c>
      <c r="G84" t="s">
        <v>71</v>
      </c>
      <c r="H84" t="s">
        <v>10</v>
      </c>
      <c r="I84">
        <v>0</v>
      </c>
      <c r="J84" t="s">
        <v>182</v>
      </c>
      <c r="K84" s="9">
        <v>41.71</v>
      </c>
      <c r="L84" s="9">
        <v>17.05</v>
      </c>
      <c r="M84" s="9">
        <v>15.46</v>
      </c>
      <c r="N84" t="s">
        <v>14</v>
      </c>
      <c r="O84" s="9">
        <v>2.03</v>
      </c>
      <c r="P84" s="9">
        <v>1.78</v>
      </c>
      <c r="Q84" s="9">
        <v>40.9</v>
      </c>
      <c r="R84" t="s">
        <v>59</v>
      </c>
      <c r="S84" s="7">
        <v>68.90000000000001</v>
      </c>
      <c r="V84" s="10" t="s">
        <v>360</v>
      </c>
      <c r="X84" s="10" t="s">
        <v>361</v>
      </c>
      <c r="Y84" s="10" t="s">
        <v>362</v>
      </c>
      <c r="Z84" t="s">
        <v>56</v>
      </c>
    </row>
    <row r="85" spans="1:26">
      <c r="A85">
        <v>110</v>
      </c>
      <c r="B85" t="s">
        <v>342</v>
      </c>
      <c r="C85" t="s">
        <v>343</v>
      </c>
      <c r="D85" t="s">
        <v>344</v>
      </c>
      <c r="E85" t="s">
        <v>48</v>
      </c>
      <c r="F85" t="s">
        <v>345</v>
      </c>
      <c r="G85" t="s">
        <v>75</v>
      </c>
      <c r="H85" t="s">
        <v>10</v>
      </c>
      <c r="I85">
        <v>0</v>
      </c>
      <c r="J85" t="s">
        <v>185</v>
      </c>
      <c r="K85" s="9">
        <v>46.15</v>
      </c>
      <c r="L85" s="9">
        <v>19.1</v>
      </c>
      <c r="M85" s="9">
        <v>16.46</v>
      </c>
      <c r="N85" t="s">
        <v>14</v>
      </c>
      <c r="O85" s="9">
        <v>2.17</v>
      </c>
      <c r="P85" s="9">
        <v>1.92</v>
      </c>
      <c r="Q85" s="9">
        <v>44.3</v>
      </c>
      <c r="R85" t="s">
        <v>59</v>
      </c>
      <c r="S85" s="7">
        <v>69.8</v>
      </c>
      <c r="V85" s="10" t="s">
        <v>363</v>
      </c>
      <c r="X85" s="10" t="s">
        <v>364</v>
      </c>
      <c r="Y85" s="10" t="s">
        <v>365</v>
      </c>
      <c r="Z85" t="s">
        <v>56</v>
      </c>
    </row>
    <row r="86" spans="1:26">
      <c r="A86">
        <v>111</v>
      </c>
      <c r="B86" t="s">
        <v>342</v>
      </c>
      <c r="C86" t="s">
        <v>343</v>
      </c>
      <c r="D86" t="s">
        <v>344</v>
      </c>
      <c r="E86" t="s">
        <v>48</v>
      </c>
      <c r="F86" t="s">
        <v>345</v>
      </c>
      <c r="G86" t="s">
        <v>80</v>
      </c>
      <c r="H86" t="s">
        <v>10</v>
      </c>
      <c r="I86">
        <v>0</v>
      </c>
      <c r="J86" t="s">
        <v>189</v>
      </c>
      <c r="K86" s="9">
        <v>45.32</v>
      </c>
      <c r="L86" s="9">
        <v>20.24</v>
      </c>
      <c r="M86" s="9">
        <v>20.51</v>
      </c>
      <c r="N86" t="s">
        <v>14</v>
      </c>
      <c r="O86" s="9">
        <v>2.71</v>
      </c>
      <c r="P86" s="9">
        <v>2.08</v>
      </c>
      <c r="Q86" s="9">
        <v>44</v>
      </c>
      <c r="R86" t="s">
        <v>59</v>
      </c>
      <c r="S86" s="7">
        <v>69.8</v>
      </c>
      <c r="V86" s="10" t="s">
        <v>366</v>
      </c>
      <c r="X86" s="10" t="s">
        <v>367</v>
      </c>
      <c r="Y86" s="10" t="s">
        <v>368</v>
      </c>
      <c r="Z86" t="s">
        <v>56</v>
      </c>
    </row>
    <row r="87" spans="1:26">
      <c r="A87">
        <v>112</v>
      </c>
      <c r="B87" t="s">
        <v>342</v>
      </c>
      <c r="C87" t="s">
        <v>343</v>
      </c>
      <c r="D87" t="s">
        <v>344</v>
      </c>
      <c r="E87" t="s">
        <v>48</v>
      </c>
      <c r="F87" t="s">
        <v>345</v>
      </c>
      <c r="G87" t="s">
        <v>85</v>
      </c>
      <c r="H87" t="s">
        <v>10</v>
      </c>
      <c r="I87">
        <v>0</v>
      </c>
      <c r="J87" t="s">
        <v>369</v>
      </c>
      <c r="K87" s="9">
        <v>51.73</v>
      </c>
      <c r="L87" s="9">
        <v>22.25</v>
      </c>
      <c r="M87" s="9">
        <v>18.77</v>
      </c>
      <c r="N87" t="s">
        <v>14</v>
      </c>
      <c r="O87" s="9">
        <v>2.48</v>
      </c>
      <c r="P87" s="9">
        <v>2.31</v>
      </c>
      <c r="Q87" s="9">
        <v>50.8</v>
      </c>
      <c r="R87" t="s">
        <v>59</v>
      </c>
      <c r="S87" s="7">
        <v>67</v>
      </c>
      <c r="V87" s="10" t="s">
        <v>370</v>
      </c>
      <c r="X87" s="10" t="s">
        <v>371</v>
      </c>
      <c r="Y87" s="10" t="s">
        <v>372</v>
      </c>
      <c r="Z87" t="s">
        <v>56</v>
      </c>
    </row>
    <row r="88" spans="1:26">
      <c r="A88">
        <v>113</v>
      </c>
      <c r="B88" t="s">
        <v>342</v>
      </c>
      <c r="C88" t="s">
        <v>343</v>
      </c>
      <c r="D88" t="s">
        <v>344</v>
      </c>
      <c r="E88" t="s">
        <v>48</v>
      </c>
      <c r="F88" t="s">
        <v>345</v>
      </c>
      <c r="G88" t="s">
        <v>89</v>
      </c>
      <c r="H88" t="s">
        <v>10</v>
      </c>
      <c r="I88">
        <v>0</v>
      </c>
      <c r="J88" t="s">
        <v>195</v>
      </c>
      <c r="K88" s="9">
        <v>49.36</v>
      </c>
      <c r="L88" s="9">
        <v>20.36</v>
      </c>
      <c r="M88" s="9">
        <v>16.73</v>
      </c>
      <c r="N88" t="s">
        <v>14</v>
      </c>
      <c r="O88" s="9">
        <v>2.22</v>
      </c>
      <c r="P88" s="9">
        <v>2.19</v>
      </c>
      <c r="Q88" s="9">
        <v>49</v>
      </c>
      <c r="R88" t="s">
        <v>100</v>
      </c>
      <c r="S88" s="7">
        <v>68.40000000000001</v>
      </c>
      <c r="V88" s="10" t="s">
        <v>373</v>
      </c>
      <c r="X88" s="10" t="s">
        <v>374</v>
      </c>
      <c r="Y88" s="10" t="s">
        <v>375</v>
      </c>
      <c r="Z88" t="s">
        <v>56</v>
      </c>
    </row>
    <row r="89" spans="1:26">
      <c r="A89">
        <v>114</v>
      </c>
      <c r="B89" t="s">
        <v>342</v>
      </c>
      <c r="C89" t="s">
        <v>343</v>
      </c>
      <c r="D89" t="s">
        <v>344</v>
      </c>
      <c r="E89" t="s">
        <v>48</v>
      </c>
      <c r="F89" t="s">
        <v>345</v>
      </c>
      <c r="G89" t="s">
        <v>93</v>
      </c>
      <c r="H89" t="s">
        <v>10</v>
      </c>
      <c r="I89">
        <v>0</v>
      </c>
      <c r="J89" t="s">
        <v>199</v>
      </c>
      <c r="K89" s="9">
        <v>51.87</v>
      </c>
      <c r="L89" s="9">
        <v>21.15</v>
      </c>
      <c r="M89" s="9">
        <v>16.74</v>
      </c>
      <c r="N89" t="s">
        <v>14</v>
      </c>
      <c r="O89" s="9">
        <v>2.23</v>
      </c>
      <c r="P89" s="9">
        <v>2.29</v>
      </c>
      <c r="Q89" s="9">
        <v>52.5</v>
      </c>
      <c r="R89" t="s">
        <v>52</v>
      </c>
      <c r="S89" s="7">
        <v>68.3</v>
      </c>
      <c r="V89" s="10" t="s">
        <v>376</v>
      </c>
      <c r="X89" s="10" t="s">
        <v>377</v>
      </c>
      <c r="Y89" s="10" t="s">
        <v>378</v>
      </c>
      <c r="Z89" t="s">
        <v>56</v>
      </c>
    </row>
    <row r="90" spans="1:26">
      <c r="A90">
        <v>115</v>
      </c>
      <c r="B90" t="s">
        <v>342</v>
      </c>
      <c r="C90" t="s">
        <v>343</v>
      </c>
      <c r="D90" t="s">
        <v>344</v>
      </c>
      <c r="E90" t="s">
        <v>48</v>
      </c>
      <c r="F90" t="s">
        <v>345</v>
      </c>
      <c r="G90" t="s">
        <v>98</v>
      </c>
      <c r="H90" t="s">
        <v>10</v>
      </c>
      <c r="I90">
        <v>0</v>
      </c>
      <c r="J90" t="s">
        <v>203</v>
      </c>
      <c r="K90" s="9">
        <v>50.12</v>
      </c>
      <c r="L90" s="9">
        <v>21.52</v>
      </c>
      <c r="M90" s="9">
        <v>17.56</v>
      </c>
      <c r="N90" t="s">
        <v>14</v>
      </c>
      <c r="O90" s="9">
        <v>2.35</v>
      </c>
      <c r="P90" s="9">
        <v>2.3</v>
      </c>
      <c r="Q90" s="9">
        <v>49.8</v>
      </c>
      <c r="R90" t="s">
        <v>100</v>
      </c>
      <c r="S90" s="7">
        <v>69.2</v>
      </c>
      <c r="V90" s="10" t="s">
        <v>379</v>
      </c>
      <c r="X90" s="10" t="s">
        <v>380</v>
      </c>
      <c r="Y90" s="10" t="s">
        <v>381</v>
      </c>
      <c r="Z90" t="s">
        <v>56</v>
      </c>
    </row>
    <row r="91" spans="1:26">
      <c r="A91">
        <v>116</v>
      </c>
      <c r="B91" t="s">
        <v>342</v>
      </c>
      <c r="C91" t="s">
        <v>343</v>
      </c>
      <c r="D91" t="s">
        <v>344</v>
      </c>
      <c r="E91" t="s">
        <v>48</v>
      </c>
      <c r="F91" t="s">
        <v>345</v>
      </c>
      <c r="G91" t="s">
        <v>103</v>
      </c>
      <c r="H91" t="s">
        <v>10</v>
      </c>
      <c r="I91">
        <v>0</v>
      </c>
      <c r="J91" t="s">
        <v>382</v>
      </c>
      <c r="K91" s="9">
        <v>52.75</v>
      </c>
      <c r="L91" s="9">
        <v>20.4</v>
      </c>
      <c r="M91" s="9">
        <v>16.43</v>
      </c>
      <c r="N91" t="s">
        <v>14</v>
      </c>
      <c r="O91" s="9">
        <v>2.2</v>
      </c>
      <c r="P91" s="9">
        <v>2.3</v>
      </c>
      <c r="Q91" s="9">
        <v>53</v>
      </c>
      <c r="R91" t="s">
        <v>52</v>
      </c>
      <c r="S91" s="7">
        <v>66.8</v>
      </c>
      <c r="V91" s="10" t="s">
        <v>383</v>
      </c>
      <c r="X91" s="10" t="s">
        <v>384</v>
      </c>
      <c r="Y91" s="10" t="s">
        <v>385</v>
      </c>
      <c r="Z91" t="s">
        <v>56</v>
      </c>
    </row>
    <row r="92" spans="1:26">
      <c r="A92">
        <v>117</v>
      </c>
      <c r="B92" t="s">
        <v>342</v>
      </c>
      <c r="C92" t="s">
        <v>343</v>
      </c>
      <c r="D92" t="s">
        <v>344</v>
      </c>
      <c r="E92" t="s">
        <v>48</v>
      </c>
      <c r="F92" t="s">
        <v>345</v>
      </c>
      <c r="G92" t="s">
        <v>107</v>
      </c>
      <c r="H92" t="s">
        <v>10</v>
      </c>
      <c r="I92">
        <v>0</v>
      </c>
      <c r="J92" t="s">
        <v>210</v>
      </c>
      <c r="K92" s="9">
        <v>52.86</v>
      </c>
      <c r="L92" s="9">
        <v>22.35</v>
      </c>
      <c r="M92" s="9">
        <v>18.3</v>
      </c>
      <c r="N92" t="s">
        <v>14</v>
      </c>
      <c r="O92" s="9">
        <v>2.45</v>
      </c>
      <c r="P92" s="9">
        <v>2.23</v>
      </c>
      <c r="Q92" s="9">
        <v>51.2</v>
      </c>
      <c r="R92" t="s">
        <v>59</v>
      </c>
      <c r="S92" s="7">
        <v>69.5</v>
      </c>
      <c r="V92" s="10" t="s">
        <v>386</v>
      </c>
      <c r="X92" s="10" t="s">
        <v>387</v>
      </c>
      <c r="Y92" s="10" t="s">
        <v>388</v>
      </c>
      <c r="Z92" t="s">
        <v>56</v>
      </c>
    </row>
    <row r="93" spans="1:26">
      <c r="A93">
        <v>118</v>
      </c>
      <c r="B93" t="s">
        <v>342</v>
      </c>
      <c r="C93" t="s">
        <v>343</v>
      </c>
      <c r="D93" t="s">
        <v>344</v>
      </c>
      <c r="E93" t="s">
        <v>48</v>
      </c>
      <c r="F93" t="s">
        <v>345</v>
      </c>
      <c r="G93" t="s">
        <v>112</v>
      </c>
      <c r="H93" t="s">
        <v>10</v>
      </c>
      <c r="I93">
        <v>0</v>
      </c>
      <c r="J93" t="s">
        <v>214</v>
      </c>
      <c r="K93" s="9">
        <v>56.19</v>
      </c>
      <c r="L93" s="9">
        <v>24.25</v>
      </c>
      <c r="M93" s="9">
        <v>20.08</v>
      </c>
      <c r="N93" t="s">
        <v>14</v>
      </c>
      <c r="O93" s="9">
        <v>2.69</v>
      </c>
      <c r="P93" s="9">
        <v>2.55</v>
      </c>
      <c r="Q93" s="9">
        <v>55.5</v>
      </c>
      <c r="R93" t="s">
        <v>59</v>
      </c>
      <c r="S93" s="7">
        <v>69.2</v>
      </c>
      <c r="V93" s="10" t="s">
        <v>389</v>
      </c>
      <c r="X93" s="10" t="s">
        <v>390</v>
      </c>
      <c r="Y93" s="10" t="s">
        <v>391</v>
      </c>
      <c r="Z93" t="s">
        <v>56</v>
      </c>
    </row>
    <row r="94" spans="1:26">
      <c r="A94">
        <v>119</v>
      </c>
      <c r="B94" t="s">
        <v>342</v>
      </c>
      <c r="C94" t="s">
        <v>343</v>
      </c>
      <c r="D94" t="s">
        <v>344</v>
      </c>
      <c r="E94" t="s">
        <v>48</v>
      </c>
      <c r="F94" t="s">
        <v>345</v>
      </c>
      <c r="G94" t="s">
        <v>116</v>
      </c>
      <c r="H94" t="s">
        <v>10</v>
      </c>
      <c r="I94">
        <v>0</v>
      </c>
      <c r="J94" t="s">
        <v>217</v>
      </c>
      <c r="K94" s="9">
        <v>56.52</v>
      </c>
      <c r="L94" s="9">
        <v>26.9</v>
      </c>
      <c r="M94" s="9">
        <v>22.29</v>
      </c>
      <c r="N94" t="s">
        <v>14</v>
      </c>
      <c r="O94" s="9">
        <v>2.99</v>
      </c>
      <c r="P94" s="9">
        <v>2.65</v>
      </c>
      <c r="Q94" s="9">
        <v>54.5</v>
      </c>
      <c r="R94" t="s">
        <v>59</v>
      </c>
      <c r="S94" s="7">
        <v>71.2</v>
      </c>
      <c r="V94" s="10" t="s">
        <v>392</v>
      </c>
      <c r="X94" s="10" t="s">
        <v>393</v>
      </c>
      <c r="Y94" s="10" t="s">
        <v>394</v>
      </c>
      <c r="Z94" t="s">
        <v>56</v>
      </c>
    </row>
    <row r="95" spans="1:26">
      <c r="A95">
        <v>120</v>
      </c>
      <c r="B95" t="s">
        <v>342</v>
      </c>
      <c r="C95" t="s">
        <v>343</v>
      </c>
      <c r="D95" t="s">
        <v>344</v>
      </c>
      <c r="E95" t="s">
        <v>48</v>
      </c>
      <c r="F95" t="s">
        <v>345</v>
      </c>
      <c r="G95" t="s">
        <v>120</v>
      </c>
      <c r="H95" t="s">
        <v>10</v>
      </c>
      <c r="I95">
        <v>0</v>
      </c>
      <c r="J95" t="s">
        <v>220</v>
      </c>
      <c r="K95" s="9">
        <v>62.02</v>
      </c>
      <c r="L95" s="9">
        <v>27.03</v>
      </c>
      <c r="M95" s="9">
        <v>21.87</v>
      </c>
      <c r="N95" t="s">
        <v>14</v>
      </c>
      <c r="O95" s="9">
        <v>2.93</v>
      </c>
      <c r="P95" s="9">
        <v>2.78</v>
      </c>
      <c r="Q95" s="9">
        <v>61.1</v>
      </c>
      <c r="R95" t="s">
        <v>59</v>
      </c>
      <c r="S95" s="7">
        <v>68.40000000000001</v>
      </c>
      <c r="V95" s="10" t="s">
        <v>395</v>
      </c>
      <c r="X95" s="10" t="s">
        <v>396</v>
      </c>
      <c r="Y95" s="10" t="s">
        <v>397</v>
      </c>
      <c r="Z95" t="s">
        <v>56</v>
      </c>
    </row>
    <row r="96" spans="1:26">
      <c r="A96">
        <v>121</v>
      </c>
      <c r="B96" t="s">
        <v>342</v>
      </c>
      <c r="C96" t="s">
        <v>343</v>
      </c>
      <c r="D96" t="s">
        <v>344</v>
      </c>
      <c r="E96" t="s">
        <v>48</v>
      </c>
      <c r="F96" t="s">
        <v>345</v>
      </c>
      <c r="G96" t="s">
        <v>124</v>
      </c>
      <c r="H96" t="s">
        <v>10</v>
      </c>
      <c r="I96">
        <v>0</v>
      </c>
      <c r="J96" t="s">
        <v>224</v>
      </c>
      <c r="K96" s="9">
        <v>61.86</v>
      </c>
      <c r="L96" s="9">
        <v>27.58</v>
      </c>
      <c r="M96" s="9">
        <v>21.94</v>
      </c>
      <c r="N96" t="s">
        <v>14</v>
      </c>
      <c r="O96" s="9">
        <v>2.94</v>
      </c>
      <c r="P96" s="9">
        <v>2.82</v>
      </c>
      <c r="Q96" s="9">
        <v>60.8</v>
      </c>
      <c r="R96" t="s">
        <v>59</v>
      </c>
      <c r="S96" s="7">
        <v>70.09999999999999</v>
      </c>
      <c r="V96" s="10" t="s">
        <v>389</v>
      </c>
      <c r="X96" s="10" t="s">
        <v>398</v>
      </c>
      <c r="Y96" s="10" t="s">
        <v>399</v>
      </c>
      <c r="Z96" t="s">
        <v>56</v>
      </c>
    </row>
    <row r="97" spans="1:26">
      <c r="A97">
        <v>122</v>
      </c>
      <c r="B97" t="s">
        <v>342</v>
      </c>
      <c r="C97" t="s">
        <v>343</v>
      </c>
      <c r="D97" t="s">
        <v>344</v>
      </c>
      <c r="E97" t="s">
        <v>48</v>
      </c>
      <c r="F97" t="s">
        <v>345</v>
      </c>
      <c r="G97" t="s">
        <v>128</v>
      </c>
      <c r="H97" t="s">
        <v>10</v>
      </c>
      <c r="I97">
        <v>0</v>
      </c>
      <c r="J97" t="s">
        <v>400</v>
      </c>
      <c r="K97" s="9">
        <v>64.73</v>
      </c>
      <c r="L97" s="9">
        <v>27.93</v>
      </c>
      <c r="M97" s="9">
        <v>22.04</v>
      </c>
      <c r="N97" t="s">
        <v>14</v>
      </c>
      <c r="O97" s="9">
        <v>2.95</v>
      </c>
      <c r="P97" s="9">
        <v>2.93</v>
      </c>
      <c r="Q97" s="9">
        <v>64.5</v>
      </c>
      <c r="R97" t="s">
        <v>100</v>
      </c>
      <c r="S97" s="7">
        <v>69.7</v>
      </c>
      <c r="V97" s="10" t="s">
        <v>401</v>
      </c>
      <c r="X97" s="10" t="s">
        <v>402</v>
      </c>
      <c r="Y97" s="10" t="s">
        <v>403</v>
      </c>
      <c r="Z97" t="s">
        <v>56</v>
      </c>
    </row>
    <row r="98" spans="1:26">
      <c r="A98">
        <v>123</v>
      </c>
      <c r="B98" t="s">
        <v>342</v>
      </c>
      <c r="C98" t="s">
        <v>343</v>
      </c>
      <c r="D98" t="s">
        <v>344</v>
      </c>
      <c r="E98" t="s">
        <v>48</v>
      </c>
      <c r="F98" t="s">
        <v>345</v>
      </c>
      <c r="G98" t="s">
        <v>133</v>
      </c>
      <c r="H98" t="s">
        <v>10</v>
      </c>
      <c r="I98">
        <v>0</v>
      </c>
      <c r="J98" t="s">
        <v>319</v>
      </c>
      <c r="K98" s="9">
        <v>65.59</v>
      </c>
      <c r="L98" s="9">
        <v>30.55</v>
      </c>
      <c r="M98" s="9">
        <v>24.67</v>
      </c>
      <c r="N98" t="s">
        <v>14</v>
      </c>
      <c r="O98" s="9">
        <v>3.3</v>
      </c>
      <c r="P98" s="9">
        <v>3.1</v>
      </c>
      <c r="Q98" s="9">
        <v>64.5</v>
      </c>
      <c r="R98" t="s">
        <v>59</v>
      </c>
      <c r="S98" s="7">
        <v>69.40000000000001</v>
      </c>
      <c r="V98" s="10" t="s">
        <v>392</v>
      </c>
      <c r="X98" s="10" t="s">
        <v>404</v>
      </c>
      <c r="Y98" s="10" t="s">
        <v>405</v>
      </c>
      <c r="Z98" t="s">
        <v>56</v>
      </c>
    </row>
    <row r="99" spans="1:26">
      <c r="A99">
        <v>124</v>
      </c>
      <c r="B99" t="s">
        <v>342</v>
      </c>
      <c r="C99" t="s">
        <v>343</v>
      </c>
      <c r="D99" t="s">
        <v>344</v>
      </c>
      <c r="E99" t="s">
        <v>48</v>
      </c>
      <c r="F99" t="s">
        <v>345</v>
      </c>
      <c r="G99" t="s">
        <v>137</v>
      </c>
      <c r="H99" t="s">
        <v>10</v>
      </c>
      <c r="I99">
        <v>0</v>
      </c>
      <c r="J99" t="s">
        <v>322</v>
      </c>
      <c r="K99" s="9">
        <v>69.63</v>
      </c>
      <c r="L99" s="9">
        <v>31.64</v>
      </c>
      <c r="M99" s="9">
        <v>24.11</v>
      </c>
      <c r="N99" t="s">
        <v>14</v>
      </c>
      <c r="O99" s="9">
        <v>3.23</v>
      </c>
      <c r="P99" s="9">
        <v>3.11</v>
      </c>
      <c r="Q99" s="9">
        <v>68.8</v>
      </c>
      <c r="R99" t="s">
        <v>59</v>
      </c>
      <c r="S99" s="7">
        <v>69.2</v>
      </c>
      <c r="V99" s="10" t="s">
        <v>406</v>
      </c>
      <c r="X99" s="10" t="s">
        <v>407</v>
      </c>
      <c r="Y99" s="10" t="s">
        <v>408</v>
      </c>
      <c r="Z99" t="s">
        <v>56</v>
      </c>
    </row>
    <row r="100" spans="1:26">
      <c r="A100">
        <v>125</v>
      </c>
      <c r="B100" t="s">
        <v>342</v>
      </c>
      <c r="C100" t="s">
        <v>343</v>
      </c>
      <c r="D100" t="s">
        <v>344</v>
      </c>
      <c r="E100" t="s">
        <v>48</v>
      </c>
      <c r="F100" t="s">
        <v>345</v>
      </c>
      <c r="G100" t="s">
        <v>141</v>
      </c>
      <c r="H100" t="s">
        <v>10</v>
      </c>
      <c r="I100">
        <v>0</v>
      </c>
      <c r="J100" t="s">
        <v>325</v>
      </c>
      <c r="K100" s="9">
        <v>70.06999999999999</v>
      </c>
      <c r="L100" s="9">
        <v>32.05</v>
      </c>
      <c r="M100" s="9">
        <v>25.82</v>
      </c>
      <c r="N100" t="s">
        <v>14</v>
      </c>
      <c r="O100" s="9">
        <v>3.46</v>
      </c>
      <c r="P100" s="9">
        <v>3.22</v>
      </c>
      <c r="Q100" s="9">
        <v>68.5</v>
      </c>
      <c r="R100" t="s">
        <v>59</v>
      </c>
      <c r="S100" s="7">
        <v>69.8</v>
      </c>
      <c r="V100" s="10" t="s">
        <v>409</v>
      </c>
      <c r="X100" s="10" t="s">
        <v>410</v>
      </c>
      <c r="Y100" s="10" t="s">
        <v>411</v>
      </c>
      <c r="Z100" t="s">
        <v>56</v>
      </c>
    </row>
    <row r="101" spans="1:26">
      <c r="A101">
        <v>126</v>
      </c>
      <c r="B101" t="s">
        <v>342</v>
      </c>
      <c r="C101" t="s">
        <v>343</v>
      </c>
      <c r="D101" t="s">
        <v>344</v>
      </c>
      <c r="E101" t="s">
        <v>48</v>
      </c>
      <c r="F101" t="s">
        <v>345</v>
      </c>
      <c r="G101" t="s">
        <v>146</v>
      </c>
      <c r="H101" t="s">
        <v>10</v>
      </c>
      <c r="I101">
        <v>0</v>
      </c>
      <c r="J101" t="s">
        <v>329</v>
      </c>
      <c r="K101" s="9">
        <v>76.441</v>
      </c>
      <c r="L101" s="9">
        <v>34.323</v>
      </c>
      <c r="M101" s="9">
        <v>27.233</v>
      </c>
      <c r="N101" t="s">
        <v>14</v>
      </c>
      <c r="O101" s="9">
        <v>3.65</v>
      </c>
      <c r="P101" s="9">
        <v>3.54</v>
      </c>
      <c r="Q101" s="9">
        <v>71.5</v>
      </c>
      <c r="R101" t="s">
        <v>59</v>
      </c>
      <c r="S101" s="7">
        <v>70.09999999999999</v>
      </c>
      <c r="T101" s="7">
        <v>44.9</v>
      </c>
      <c r="V101" s="10" t="s">
        <v>412</v>
      </c>
      <c r="X101" s="10" t="s">
        <v>413</v>
      </c>
      <c r="Y101" s="10" t="s">
        <v>414</v>
      </c>
      <c r="Z101" t="s">
        <v>56</v>
      </c>
    </row>
    <row r="102" spans="1:26">
      <c r="A102">
        <v>127</v>
      </c>
      <c r="B102" t="s">
        <v>342</v>
      </c>
      <c r="C102" t="s">
        <v>343</v>
      </c>
      <c r="D102" t="s">
        <v>344</v>
      </c>
      <c r="E102" t="s">
        <v>48</v>
      </c>
      <c r="F102" t="s">
        <v>345</v>
      </c>
      <c r="G102" t="s">
        <v>150</v>
      </c>
      <c r="H102" t="s">
        <v>10</v>
      </c>
      <c r="I102">
        <v>0</v>
      </c>
      <c r="J102" t="s">
        <v>247</v>
      </c>
      <c r="K102" s="9">
        <v>78</v>
      </c>
      <c r="L102" s="9">
        <v>36.5</v>
      </c>
      <c r="M102" s="9">
        <v>29.2</v>
      </c>
      <c r="N102" t="s">
        <v>14</v>
      </c>
      <c r="O102" s="9">
        <v>3.9</v>
      </c>
      <c r="P102" s="9">
        <v>3.72</v>
      </c>
      <c r="Q102" s="9">
        <v>76.5</v>
      </c>
      <c r="R102" t="s">
        <v>59</v>
      </c>
      <c r="S102" s="7">
        <v>70.5</v>
      </c>
      <c r="V102" s="10" t="s">
        <v>415</v>
      </c>
      <c r="X102" s="10" t="s">
        <v>416</v>
      </c>
      <c r="Y102" s="10" t="s">
        <v>417</v>
      </c>
      <c r="Z102" t="s">
        <v>56</v>
      </c>
    </row>
    <row r="103" spans="1:26">
      <c r="A103">
        <v>128</v>
      </c>
      <c r="B103" t="s">
        <v>342</v>
      </c>
      <c r="C103" t="s">
        <v>343</v>
      </c>
      <c r="D103" t="s">
        <v>344</v>
      </c>
      <c r="E103" t="s">
        <v>48</v>
      </c>
      <c r="F103" t="s">
        <v>345</v>
      </c>
      <c r="G103" t="s">
        <v>155</v>
      </c>
      <c r="H103" t="s">
        <v>10</v>
      </c>
      <c r="I103">
        <v>0</v>
      </c>
      <c r="J103" t="s">
        <v>251</v>
      </c>
      <c r="K103" s="9">
        <v>90</v>
      </c>
      <c r="L103" s="9">
        <v>40.6</v>
      </c>
      <c r="M103" s="9">
        <v>35.766</v>
      </c>
      <c r="N103" t="s">
        <v>14</v>
      </c>
      <c r="O103" s="9">
        <v>4.81</v>
      </c>
      <c r="P103" s="9">
        <v>4</v>
      </c>
      <c r="Q103" s="9">
        <v>81.5</v>
      </c>
      <c r="R103" t="s">
        <v>59</v>
      </c>
      <c r="S103" s="7">
        <v>70.8</v>
      </c>
      <c r="T103" s="7">
        <v>45.1</v>
      </c>
      <c r="V103" s="10" t="s">
        <v>415</v>
      </c>
      <c r="X103" s="10" t="s">
        <v>418</v>
      </c>
      <c r="Y103" s="10" t="s">
        <v>419</v>
      </c>
      <c r="Z103" t="s">
        <v>56</v>
      </c>
    </row>
    <row r="104" spans="1:26">
      <c r="A104">
        <v>129</v>
      </c>
      <c r="B104" t="s">
        <v>342</v>
      </c>
      <c r="C104" t="s">
        <v>343</v>
      </c>
      <c r="D104" t="s">
        <v>344</v>
      </c>
      <c r="E104" t="s">
        <v>48</v>
      </c>
      <c r="F104" t="s">
        <v>345</v>
      </c>
      <c r="G104" t="s">
        <v>159</v>
      </c>
      <c r="H104" t="s">
        <v>11</v>
      </c>
      <c r="I104">
        <v>1</v>
      </c>
      <c r="K104" s="9">
        <v>86</v>
      </c>
      <c r="L104" s="9">
        <v>41</v>
      </c>
      <c r="M104" s="9">
        <v>32.8</v>
      </c>
      <c r="N104" t="s">
        <v>14</v>
      </c>
      <c r="O104" s="9">
        <v>4.35</v>
      </c>
      <c r="P104" s="9">
        <v>4.18</v>
      </c>
      <c r="Q104" s="9">
        <v>84</v>
      </c>
      <c r="S104" s="7">
        <v>71</v>
      </c>
      <c r="V104" s="10" t="s">
        <v>420</v>
      </c>
      <c r="X104" s="10" t="s">
        <v>421</v>
      </c>
      <c r="Y104" s="10" t="s">
        <v>162</v>
      </c>
      <c r="Z104" t="s">
        <v>56</v>
      </c>
    </row>
    <row r="105" spans="1:26">
      <c r="A105">
        <v>130</v>
      </c>
      <c r="B105" t="s">
        <v>342</v>
      </c>
      <c r="C105" t="s">
        <v>343</v>
      </c>
      <c r="D105" t="s">
        <v>344</v>
      </c>
      <c r="E105" t="s">
        <v>48</v>
      </c>
      <c r="F105" t="s">
        <v>345</v>
      </c>
      <c r="G105" t="s">
        <v>163</v>
      </c>
      <c r="H105" t="s">
        <v>11</v>
      </c>
      <c r="I105">
        <v>1</v>
      </c>
      <c r="K105" s="9">
        <v>91</v>
      </c>
      <c r="L105" s="9">
        <v>43.5</v>
      </c>
      <c r="M105" s="9">
        <v>35</v>
      </c>
      <c r="N105" t="s">
        <v>14</v>
      </c>
      <c r="O105" s="9">
        <v>4.62</v>
      </c>
      <c r="P105" s="9">
        <v>4.42</v>
      </c>
      <c r="Q105" s="9">
        <v>89</v>
      </c>
      <c r="S105" s="7">
        <v>70.5</v>
      </c>
      <c r="V105" s="10" t="s">
        <v>420</v>
      </c>
      <c r="X105" s="10" t="s">
        <v>422</v>
      </c>
      <c r="Y105" s="10" t="s">
        <v>162</v>
      </c>
      <c r="Z105" t="s">
        <v>56</v>
      </c>
    </row>
    <row r="106" spans="1:26">
      <c r="A106">
        <v>603</v>
      </c>
      <c r="B106" t="s">
        <v>423</v>
      </c>
      <c r="C106" t="s">
        <v>424</v>
      </c>
      <c r="D106" t="s">
        <v>425</v>
      </c>
      <c r="E106" t="s">
        <v>48</v>
      </c>
      <c r="F106" t="s">
        <v>426</v>
      </c>
      <c r="G106" t="s">
        <v>50</v>
      </c>
      <c r="H106" t="s">
        <v>10</v>
      </c>
      <c r="I106">
        <v>0</v>
      </c>
      <c r="J106" t="s">
        <v>427</v>
      </c>
      <c r="K106" s="9">
        <v>9.367000000000001</v>
      </c>
      <c r="L106" s="9">
        <v>3.211</v>
      </c>
      <c r="M106" s="9">
        <v>2.251</v>
      </c>
      <c r="N106" t="s">
        <v>14</v>
      </c>
      <c r="O106" s="9">
        <v>0.72</v>
      </c>
      <c r="T106" s="7">
        <v>34.28</v>
      </c>
      <c r="X106" s="10" t="s">
        <v>428</v>
      </c>
      <c r="Y106" s="11" t="s">
        <v>429</v>
      </c>
      <c r="Z106" t="s">
        <v>430</v>
      </c>
    </row>
    <row r="107" spans="1:26">
      <c r="A107">
        <v>604</v>
      </c>
      <c r="B107" t="s">
        <v>423</v>
      </c>
      <c r="C107" t="s">
        <v>424</v>
      </c>
      <c r="D107" t="s">
        <v>425</v>
      </c>
      <c r="E107" t="s">
        <v>48</v>
      </c>
      <c r="F107" t="s">
        <v>426</v>
      </c>
      <c r="G107" t="s">
        <v>57</v>
      </c>
      <c r="H107" t="s">
        <v>10</v>
      </c>
      <c r="I107">
        <v>0</v>
      </c>
      <c r="J107" t="s">
        <v>431</v>
      </c>
      <c r="K107" s="9">
        <v>9.800000000000001</v>
      </c>
      <c r="L107" s="9">
        <v>3.583</v>
      </c>
      <c r="M107" s="9">
        <v>2.442</v>
      </c>
      <c r="N107" t="s">
        <v>14</v>
      </c>
      <c r="O107" s="9">
        <v>0.8</v>
      </c>
      <c r="T107" s="7">
        <v>36.56</v>
      </c>
      <c r="X107" s="10" t="s">
        <v>428</v>
      </c>
      <c r="Y107" s="11" t="s">
        <v>432</v>
      </c>
      <c r="Z107" t="s">
        <v>430</v>
      </c>
    </row>
    <row r="108" spans="1:26">
      <c r="A108">
        <v>605</v>
      </c>
      <c r="B108" t="s">
        <v>423</v>
      </c>
      <c r="C108" t="s">
        <v>424</v>
      </c>
      <c r="D108" t="s">
        <v>425</v>
      </c>
      <c r="E108" t="s">
        <v>48</v>
      </c>
      <c r="F108" t="s">
        <v>426</v>
      </c>
      <c r="G108" t="s">
        <v>62</v>
      </c>
      <c r="H108" t="s">
        <v>10</v>
      </c>
      <c r="I108">
        <v>0</v>
      </c>
      <c r="J108" t="s">
        <v>433</v>
      </c>
      <c r="K108" s="9">
        <v>9.795999999999999</v>
      </c>
      <c r="L108" s="9">
        <v>3.528</v>
      </c>
      <c r="M108" s="9">
        <v>2.571</v>
      </c>
      <c r="N108" t="s">
        <v>14</v>
      </c>
      <c r="O108" s="9">
        <v>0.79</v>
      </c>
      <c r="T108" s="7">
        <v>36.01</v>
      </c>
      <c r="X108" s="10" t="s">
        <v>428</v>
      </c>
      <c r="Y108" s="11" t="s">
        <v>434</v>
      </c>
      <c r="Z108" t="s">
        <v>430</v>
      </c>
    </row>
    <row r="109" spans="1:26">
      <c r="A109">
        <v>606</v>
      </c>
      <c r="B109" t="s">
        <v>423</v>
      </c>
      <c r="C109" t="s">
        <v>424</v>
      </c>
      <c r="D109" t="s">
        <v>425</v>
      </c>
      <c r="E109" t="s">
        <v>48</v>
      </c>
      <c r="F109" t="s">
        <v>426</v>
      </c>
      <c r="G109" t="s">
        <v>66</v>
      </c>
      <c r="H109" t="s">
        <v>10</v>
      </c>
      <c r="I109">
        <v>0</v>
      </c>
      <c r="J109" t="s">
        <v>435</v>
      </c>
      <c r="K109" s="9">
        <v>10.44</v>
      </c>
      <c r="L109" s="9">
        <v>4.308</v>
      </c>
      <c r="M109" s="9">
        <v>3.116</v>
      </c>
      <c r="N109" t="s">
        <v>14</v>
      </c>
      <c r="T109" s="7">
        <v>41.26</v>
      </c>
      <c r="X109" s="10" t="s">
        <v>436</v>
      </c>
      <c r="Y109" s="11" t="s">
        <v>437</v>
      </c>
      <c r="Z109" t="s">
        <v>430</v>
      </c>
    </row>
    <row r="110" spans="1:26">
      <c r="A110">
        <v>607</v>
      </c>
      <c r="B110" t="s">
        <v>423</v>
      </c>
      <c r="C110" t="s">
        <v>424</v>
      </c>
      <c r="D110" t="s">
        <v>425</v>
      </c>
      <c r="E110" t="s">
        <v>48</v>
      </c>
      <c r="F110" t="s">
        <v>426</v>
      </c>
      <c r="G110" t="s">
        <v>71</v>
      </c>
      <c r="H110" t="s">
        <v>10</v>
      </c>
      <c r="I110">
        <v>0</v>
      </c>
      <c r="J110" t="s">
        <v>438</v>
      </c>
      <c r="K110" s="9">
        <v>9.728</v>
      </c>
      <c r="L110" s="9">
        <v>3.427</v>
      </c>
      <c r="M110" s="9">
        <v>2.457</v>
      </c>
      <c r="N110" t="s">
        <v>14</v>
      </c>
      <c r="O110" s="9">
        <v>0.86</v>
      </c>
      <c r="T110" s="7">
        <v>35.23</v>
      </c>
      <c r="X110" s="10" t="s">
        <v>428</v>
      </c>
      <c r="Y110" s="11" t="s">
        <v>439</v>
      </c>
      <c r="Z110" t="s">
        <v>430</v>
      </c>
    </row>
    <row r="111" spans="1:26">
      <c r="A111">
        <v>608</v>
      </c>
      <c r="B111" t="s">
        <v>423</v>
      </c>
      <c r="C111" t="s">
        <v>424</v>
      </c>
      <c r="D111" t="s">
        <v>425</v>
      </c>
      <c r="E111" t="s">
        <v>48</v>
      </c>
      <c r="F111" t="s">
        <v>426</v>
      </c>
      <c r="G111" t="s">
        <v>75</v>
      </c>
      <c r="H111" t="s">
        <v>10</v>
      </c>
      <c r="I111">
        <v>0</v>
      </c>
      <c r="J111" t="s">
        <v>440</v>
      </c>
      <c r="K111" s="9">
        <v>10.36</v>
      </c>
      <c r="L111" s="9">
        <v>-0.824</v>
      </c>
      <c r="M111" s="9">
        <v>-1.247</v>
      </c>
      <c r="N111" t="s">
        <v>14</v>
      </c>
      <c r="O111" s="9">
        <v>-0.46</v>
      </c>
      <c r="T111" s="7">
        <v>-7.95</v>
      </c>
      <c r="X111" s="10" t="s">
        <v>428</v>
      </c>
      <c r="Y111" s="11" t="s">
        <v>441</v>
      </c>
      <c r="Z111" t="s">
        <v>430</v>
      </c>
    </row>
    <row r="112" spans="1:26">
      <c r="A112">
        <v>609</v>
      </c>
      <c r="B112" t="s">
        <v>423</v>
      </c>
      <c r="C112" t="s">
        <v>424</v>
      </c>
      <c r="D112" t="s">
        <v>425</v>
      </c>
      <c r="E112" t="s">
        <v>48</v>
      </c>
      <c r="F112" t="s">
        <v>426</v>
      </c>
      <c r="G112" t="s">
        <v>80</v>
      </c>
      <c r="H112" t="s">
        <v>10</v>
      </c>
      <c r="I112">
        <v>0</v>
      </c>
      <c r="J112" t="s">
        <v>442</v>
      </c>
      <c r="K112" s="9">
        <v>10.085</v>
      </c>
      <c r="L112" s="9">
        <v>3.878</v>
      </c>
      <c r="M112" s="9">
        <v>5.021</v>
      </c>
      <c r="N112" t="s">
        <v>14</v>
      </c>
      <c r="O112" s="9">
        <v>1.68</v>
      </c>
      <c r="T112" s="7">
        <v>38.45</v>
      </c>
      <c r="X112" s="10" t="s">
        <v>428</v>
      </c>
      <c r="Y112" s="11" t="s">
        <v>443</v>
      </c>
      <c r="Z112" t="s">
        <v>430</v>
      </c>
    </row>
    <row r="113" spans="1:26">
      <c r="A113">
        <v>610</v>
      </c>
      <c r="B113" t="s">
        <v>423</v>
      </c>
      <c r="C113" t="s">
        <v>424</v>
      </c>
      <c r="D113" t="s">
        <v>425</v>
      </c>
      <c r="E113" t="s">
        <v>48</v>
      </c>
      <c r="F113" t="s">
        <v>426</v>
      </c>
      <c r="G113" t="s">
        <v>85</v>
      </c>
      <c r="H113" t="s">
        <v>10</v>
      </c>
      <c r="I113">
        <v>0</v>
      </c>
      <c r="J113" t="s">
        <v>444</v>
      </c>
      <c r="K113" s="9">
        <v>11.227</v>
      </c>
      <c r="L113" s="9">
        <v>4.541</v>
      </c>
      <c r="M113" s="9">
        <v>4.032</v>
      </c>
      <c r="N113" t="s">
        <v>14</v>
      </c>
      <c r="T113" s="7">
        <v>40.45</v>
      </c>
      <c r="X113" s="10" t="s">
        <v>436</v>
      </c>
      <c r="Y113" s="11" t="s">
        <v>445</v>
      </c>
      <c r="Z113" t="s">
        <v>430</v>
      </c>
    </row>
    <row r="114" spans="1:26">
      <c r="A114">
        <v>611</v>
      </c>
      <c r="B114" t="s">
        <v>423</v>
      </c>
      <c r="C114" t="s">
        <v>424</v>
      </c>
      <c r="D114" t="s">
        <v>425</v>
      </c>
      <c r="E114" t="s">
        <v>48</v>
      </c>
      <c r="F114" t="s">
        <v>426</v>
      </c>
      <c r="G114" t="s">
        <v>89</v>
      </c>
      <c r="H114" t="s">
        <v>10</v>
      </c>
      <c r="I114">
        <v>0</v>
      </c>
      <c r="J114" t="s">
        <v>446</v>
      </c>
      <c r="K114" s="9">
        <v>11.445</v>
      </c>
      <c r="L114" s="9">
        <v>2.623</v>
      </c>
      <c r="M114" s="9">
        <v>1.548</v>
      </c>
      <c r="N114" t="s">
        <v>14</v>
      </c>
      <c r="O114" s="9">
        <v>0.5600000000000001</v>
      </c>
      <c r="T114" s="7">
        <v>22.92</v>
      </c>
      <c r="X114" s="10" t="s">
        <v>428</v>
      </c>
      <c r="Y114" s="11" t="s">
        <v>447</v>
      </c>
      <c r="Z114" t="s">
        <v>430</v>
      </c>
    </row>
    <row r="115" spans="1:26">
      <c r="A115">
        <v>612</v>
      </c>
      <c r="B115" t="s">
        <v>423</v>
      </c>
      <c r="C115" t="s">
        <v>424</v>
      </c>
      <c r="D115" t="s">
        <v>425</v>
      </c>
      <c r="E115" t="s">
        <v>48</v>
      </c>
      <c r="F115" t="s">
        <v>426</v>
      </c>
      <c r="G115" t="s">
        <v>93</v>
      </c>
      <c r="H115" t="s">
        <v>10</v>
      </c>
      <c r="I115">
        <v>0</v>
      </c>
      <c r="J115" t="s">
        <v>448</v>
      </c>
      <c r="K115" s="9">
        <v>12.275</v>
      </c>
      <c r="L115" s="9">
        <v>3.071</v>
      </c>
      <c r="M115" s="9">
        <v>1.741</v>
      </c>
      <c r="N115" t="s">
        <v>14</v>
      </c>
      <c r="O115" s="9">
        <v>0.63</v>
      </c>
      <c r="T115" s="7">
        <v>25.02</v>
      </c>
      <c r="X115" s="10" t="s">
        <v>428</v>
      </c>
      <c r="Y115" s="11" t="s">
        <v>449</v>
      </c>
      <c r="Z115" t="s">
        <v>430</v>
      </c>
    </row>
    <row r="116" spans="1:26">
      <c r="A116">
        <v>613</v>
      </c>
      <c r="B116" t="s">
        <v>423</v>
      </c>
      <c r="C116" t="s">
        <v>424</v>
      </c>
      <c r="D116" t="s">
        <v>425</v>
      </c>
      <c r="E116" t="s">
        <v>48</v>
      </c>
      <c r="F116" t="s">
        <v>426</v>
      </c>
      <c r="G116" t="s">
        <v>98</v>
      </c>
      <c r="H116" t="s">
        <v>10</v>
      </c>
      <c r="I116">
        <v>0</v>
      </c>
      <c r="J116" t="s">
        <v>450</v>
      </c>
      <c r="K116" s="9">
        <v>10.513</v>
      </c>
      <c r="L116" s="9">
        <v>3.822</v>
      </c>
      <c r="M116" s="9">
        <v>2.319</v>
      </c>
      <c r="N116" t="s">
        <v>14</v>
      </c>
      <c r="O116" s="9">
        <v>0.84</v>
      </c>
      <c r="T116" s="7">
        <v>36.35</v>
      </c>
      <c r="X116" s="10" t="s">
        <v>428</v>
      </c>
      <c r="Y116" s="11" t="s">
        <v>451</v>
      </c>
      <c r="Z116" t="s">
        <v>430</v>
      </c>
    </row>
    <row r="117" spans="1:26">
      <c r="A117">
        <v>614</v>
      </c>
      <c r="B117" t="s">
        <v>423</v>
      </c>
      <c r="C117" t="s">
        <v>424</v>
      </c>
      <c r="D117" t="s">
        <v>425</v>
      </c>
      <c r="E117" t="s">
        <v>48</v>
      </c>
      <c r="F117" t="s">
        <v>426</v>
      </c>
      <c r="G117" t="s">
        <v>103</v>
      </c>
      <c r="H117" t="s">
        <v>10</v>
      </c>
      <c r="I117">
        <v>0</v>
      </c>
      <c r="J117" t="s">
        <v>452</v>
      </c>
      <c r="K117" s="9">
        <v>11.839</v>
      </c>
      <c r="L117" s="9">
        <v>4.501</v>
      </c>
      <c r="M117" s="9">
        <v>3.188</v>
      </c>
      <c r="N117" t="s">
        <v>14</v>
      </c>
      <c r="T117" s="7">
        <v>38.02</v>
      </c>
      <c r="X117" s="10" t="s">
        <v>436</v>
      </c>
      <c r="Y117" s="11" t="s">
        <v>453</v>
      </c>
      <c r="Z117" t="s">
        <v>430</v>
      </c>
    </row>
    <row r="118" spans="1:26">
      <c r="A118">
        <v>615</v>
      </c>
      <c r="B118" t="s">
        <v>423</v>
      </c>
      <c r="C118" t="s">
        <v>424</v>
      </c>
      <c r="D118" t="s">
        <v>425</v>
      </c>
      <c r="E118" t="s">
        <v>48</v>
      </c>
      <c r="F118" t="s">
        <v>426</v>
      </c>
      <c r="G118" t="s">
        <v>107</v>
      </c>
      <c r="H118" t="s">
        <v>10</v>
      </c>
      <c r="I118">
        <v>0</v>
      </c>
      <c r="J118" t="s">
        <v>454</v>
      </c>
      <c r="K118" s="9">
        <v>12.453</v>
      </c>
      <c r="L118" s="9">
        <v>3.296</v>
      </c>
      <c r="M118" s="9">
        <v>2.42</v>
      </c>
      <c r="N118" t="s">
        <v>14</v>
      </c>
      <c r="O118" s="9">
        <v>0.86</v>
      </c>
      <c r="T118" s="7">
        <v>26.47</v>
      </c>
      <c r="X118" s="10" t="s">
        <v>428</v>
      </c>
      <c r="Y118" s="11" t="s">
        <v>455</v>
      </c>
      <c r="Z118" t="s">
        <v>430</v>
      </c>
    </row>
    <row r="119" spans="1:26">
      <c r="A119">
        <v>616</v>
      </c>
      <c r="B119" t="s">
        <v>423</v>
      </c>
      <c r="C119" t="s">
        <v>424</v>
      </c>
      <c r="D119" t="s">
        <v>425</v>
      </c>
      <c r="E119" t="s">
        <v>48</v>
      </c>
      <c r="F119" t="s">
        <v>426</v>
      </c>
      <c r="G119" t="s">
        <v>112</v>
      </c>
      <c r="H119" t="s">
        <v>10</v>
      </c>
      <c r="I119">
        <v>0</v>
      </c>
      <c r="J119" t="s">
        <v>456</v>
      </c>
      <c r="K119" s="9">
        <v>12.941</v>
      </c>
      <c r="L119" s="9">
        <v>3.622</v>
      </c>
      <c r="M119" s="9">
        <v>2.503</v>
      </c>
      <c r="N119" t="s">
        <v>14</v>
      </c>
      <c r="O119" s="9">
        <v>0.89</v>
      </c>
      <c r="T119" s="7">
        <v>27.99</v>
      </c>
      <c r="X119" s="10" t="s">
        <v>428</v>
      </c>
      <c r="Y119" s="11" t="s">
        <v>457</v>
      </c>
      <c r="Z119" t="s">
        <v>430</v>
      </c>
    </row>
    <row r="120" spans="1:26">
      <c r="A120">
        <v>617</v>
      </c>
      <c r="B120" t="s">
        <v>423</v>
      </c>
      <c r="C120" t="s">
        <v>424</v>
      </c>
      <c r="D120" t="s">
        <v>425</v>
      </c>
      <c r="E120" t="s">
        <v>48</v>
      </c>
      <c r="F120" t="s">
        <v>426</v>
      </c>
      <c r="G120" t="s">
        <v>116</v>
      </c>
      <c r="H120" t="s">
        <v>10</v>
      </c>
      <c r="I120">
        <v>0</v>
      </c>
      <c r="J120" t="s">
        <v>458</v>
      </c>
      <c r="K120" s="9">
        <v>12.398</v>
      </c>
      <c r="L120" s="9">
        <v>3.26</v>
      </c>
      <c r="M120" s="9">
        <v>1.896</v>
      </c>
      <c r="N120" t="s">
        <v>14</v>
      </c>
      <c r="O120" s="9">
        <v>0.68</v>
      </c>
      <c r="T120" s="7">
        <v>26.29</v>
      </c>
      <c r="X120" s="10" t="s">
        <v>428</v>
      </c>
      <c r="Y120" s="11" t="s">
        <v>459</v>
      </c>
      <c r="Z120" t="s">
        <v>430</v>
      </c>
    </row>
    <row r="121" spans="1:26">
      <c r="A121">
        <v>618</v>
      </c>
      <c r="B121" t="s">
        <v>423</v>
      </c>
      <c r="C121" t="s">
        <v>424</v>
      </c>
      <c r="D121" t="s">
        <v>425</v>
      </c>
      <c r="E121" t="s">
        <v>48</v>
      </c>
      <c r="F121" t="s">
        <v>426</v>
      </c>
      <c r="G121" t="s">
        <v>120</v>
      </c>
      <c r="H121" t="s">
        <v>10</v>
      </c>
      <c r="I121">
        <v>0</v>
      </c>
      <c r="J121" t="s">
        <v>460</v>
      </c>
      <c r="K121" s="9">
        <v>13.836</v>
      </c>
      <c r="L121" s="9">
        <v>4.139</v>
      </c>
      <c r="M121" s="9">
        <v>3.318</v>
      </c>
      <c r="N121" t="s">
        <v>14</v>
      </c>
      <c r="T121" s="7">
        <v>29.91</v>
      </c>
      <c r="X121" s="10" t="s">
        <v>436</v>
      </c>
      <c r="Y121" s="11" t="s">
        <v>461</v>
      </c>
      <c r="Z121" t="s">
        <v>430</v>
      </c>
    </row>
    <row r="122" spans="1:26">
      <c r="A122">
        <v>619</v>
      </c>
      <c r="B122" t="s">
        <v>423</v>
      </c>
      <c r="C122" t="s">
        <v>424</v>
      </c>
      <c r="D122" t="s">
        <v>425</v>
      </c>
      <c r="E122" t="s">
        <v>48</v>
      </c>
      <c r="F122" t="s">
        <v>426</v>
      </c>
      <c r="G122" t="s">
        <v>124</v>
      </c>
      <c r="H122" t="s">
        <v>10</v>
      </c>
      <c r="I122">
        <v>0</v>
      </c>
      <c r="J122" t="s">
        <v>462</v>
      </c>
      <c r="K122" s="9">
        <v>13.307</v>
      </c>
      <c r="L122" s="9">
        <v>3.991</v>
      </c>
      <c r="M122" s="9">
        <v>2.929</v>
      </c>
      <c r="N122" t="s">
        <v>14</v>
      </c>
      <c r="O122" s="9">
        <v>1.03</v>
      </c>
      <c r="T122" s="7">
        <v>29.99</v>
      </c>
      <c r="X122" s="10" t="s">
        <v>428</v>
      </c>
      <c r="Y122" s="11" t="s">
        <v>463</v>
      </c>
      <c r="Z122" t="s">
        <v>430</v>
      </c>
    </row>
    <row r="123" spans="1:26">
      <c r="A123">
        <v>620</v>
      </c>
      <c r="B123" t="s">
        <v>423</v>
      </c>
      <c r="C123" t="s">
        <v>424</v>
      </c>
      <c r="D123" t="s">
        <v>425</v>
      </c>
      <c r="E123" t="s">
        <v>48</v>
      </c>
      <c r="F123" t="s">
        <v>426</v>
      </c>
      <c r="G123" t="s">
        <v>128</v>
      </c>
      <c r="H123" t="s">
        <v>10</v>
      </c>
      <c r="I123">
        <v>0</v>
      </c>
      <c r="J123" t="s">
        <v>464</v>
      </c>
      <c r="K123" s="9">
        <v>14.059</v>
      </c>
      <c r="L123" s="9">
        <v>4.22</v>
      </c>
      <c r="M123" s="9">
        <v>3.151</v>
      </c>
      <c r="N123" t="s">
        <v>14</v>
      </c>
      <c r="O123" s="9">
        <v>1.1</v>
      </c>
      <c r="T123" s="7">
        <v>30.02</v>
      </c>
      <c r="X123" s="10" t="s">
        <v>428</v>
      </c>
      <c r="Y123" s="11" t="s">
        <v>465</v>
      </c>
      <c r="Z123" t="s">
        <v>430</v>
      </c>
    </row>
    <row r="124" spans="1:26">
      <c r="A124">
        <v>621</v>
      </c>
      <c r="B124" t="s">
        <v>423</v>
      </c>
      <c r="C124" t="s">
        <v>424</v>
      </c>
      <c r="D124" t="s">
        <v>425</v>
      </c>
      <c r="E124" t="s">
        <v>48</v>
      </c>
      <c r="F124" t="s">
        <v>426</v>
      </c>
      <c r="G124" t="s">
        <v>133</v>
      </c>
      <c r="H124" t="s">
        <v>10</v>
      </c>
      <c r="I124">
        <v>0</v>
      </c>
      <c r="J124" t="s">
        <v>466</v>
      </c>
      <c r="K124" s="9">
        <v>13.28</v>
      </c>
      <c r="L124" s="9">
        <v>3.75</v>
      </c>
      <c r="M124" s="9">
        <v>2.401</v>
      </c>
      <c r="N124" t="s">
        <v>14</v>
      </c>
      <c r="O124" s="9">
        <v>0.85</v>
      </c>
      <c r="T124" s="7">
        <v>28.24</v>
      </c>
      <c r="X124" s="10" t="s">
        <v>428</v>
      </c>
      <c r="Y124" s="11" t="s">
        <v>467</v>
      </c>
      <c r="Z124" t="s">
        <v>430</v>
      </c>
    </row>
    <row r="125" spans="1:26">
      <c r="A125">
        <v>622</v>
      </c>
      <c r="B125" t="s">
        <v>423</v>
      </c>
      <c r="C125" t="s">
        <v>424</v>
      </c>
      <c r="D125" t="s">
        <v>425</v>
      </c>
      <c r="E125" t="s">
        <v>48</v>
      </c>
      <c r="F125" t="s">
        <v>426</v>
      </c>
      <c r="G125" t="s">
        <v>137</v>
      </c>
      <c r="H125" t="s">
        <v>10</v>
      </c>
      <c r="I125">
        <v>0</v>
      </c>
      <c r="J125" t="s">
        <v>468</v>
      </c>
      <c r="K125" s="9">
        <v>14.287</v>
      </c>
      <c r="L125" s="9">
        <v>4.685</v>
      </c>
      <c r="M125" s="9">
        <v>3.143</v>
      </c>
      <c r="N125" t="s">
        <v>14</v>
      </c>
      <c r="T125" s="7">
        <v>32.79</v>
      </c>
      <c r="X125" s="10" t="s">
        <v>436</v>
      </c>
      <c r="Y125" s="11" t="s">
        <v>469</v>
      </c>
      <c r="Z125" t="s">
        <v>430</v>
      </c>
    </row>
    <row r="126" spans="1:26">
      <c r="A126">
        <v>623</v>
      </c>
      <c r="B126" t="s">
        <v>423</v>
      </c>
      <c r="C126" t="s">
        <v>424</v>
      </c>
      <c r="D126" t="s">
        <v>425</v>
      </c>
      <c r="E126" t="s">
        <v>48</v>
      </c>
      <c r="F126" t="s">
        <v>426</v>
      </c>
      <c r="G126" t="s">
        <v>141</v>
      </c>
      <c r="H126" t="s">
        <v>10</v>
      </c>
      <c r="I126">
        <v>0</v>
      </c>
      <c r="J126" t="s">
        <v>470</v>
      </c>
      <c r="K126" s="9">
        <v>14.926</v>
      </c>
      <c r="L126" s="9">
        <v>4.277</v>
      </c>
      <c r="M126" s="9">
        <v>2.927</v>
      </c>
      <c r="N126" t="s">
        <v>14</v>
      </c>
      <c r="O126" s="9">
        <v>1.01</v>
      </c>
      <c r="T126" s="7">
        <v>28.65</v>
      </c>
      <c r="X126" s="10" t="s">
        <v>428</v>
      </c>
      <c r="Y126" s="11" t="s">
        <v>471</v>
      </c>
      <c r="Z126" t="s">
        <v>430</v>
      </c>
    </row>
    <row r="127" spans="1:26">
      <c r="A127">
        <v>624</v>
      </c>
      <c r="B127" t="s">
        <v>423</v>
      </c>
      <c r="C127" t="s">
        <v>424</v>
      </c>
      <c r="D127" t="s">
        <v>425</v>
      </c>
      <c r="E127" t="s">
        <v>48</v>
      </c>
      <c r="F127" t="s">
        <v>426</v>
      </c>
      <c r="G127" t="s">
        <v>146</v>
      </c>
      <c r="H127" t="s">
        <v>10</v>
      </c>
      <c r="I127">
        <v>0</v>
      </c>
      <c r="J127" t="s">
        <v>464</v>
      </c>
      <c r="K127" s="9">
        <v>16.058</v>
      </c>
      <c r="L127" s="9">
        <v>4.731</v>
      </c>
      <c r="M127" s="9">
        <v>6.135</v>
      </c>
      <c r="N127" t="s">
        <v>14</v>
      </c>
      <c r="O127" s="9">
        <v>2.1</v>
      </c>
      <c r="T127" s="7">
        <v>29.46</v>
      </c>
      <c r="X127" s="10" t="s">
        <v>428</v>
      </c>
      <c r="Y127" s="11" t="s">
        <v>465</v>
      </c>
      <c r="Z127" t="s">
        <v>430</v>
      </c>
    </row>
    <row r="128" spans="1:26">
      <c r="A128">
        <v>625</v>
      </c>
      <c r="B128" t="s">
        <v>423</v>
      </c>
      <c r="C128" t="s">
        <v>424</v>
      </c>
      <c r="D128" t="s">
        <v>425</v>
      </c>
      <c r="E128" t="s">
        <v>48</v>
      </c>
      <c r="F128" t="s">
        <v>426</v>
      </c>
      <c r="G128" t="s">
        <v>472</v>
      </c>
      <c r="H128" t="s">
        <v>10</v>
      </c>
      <c r="I128">
        <v>0</v>
      </c>
      <c r="J128" t="s">
        <v>473</v>
      </c>
      <c r="K128" s="9">
        <v>14.13</v>
      </c>
      <c r="L128" s="9">
        <v>4.358</v>
      </c>
      <c r="M128" s="9">
        <v>2.936</v>
      </c>
      <c r="N128" t="s">
        <v>14</v>
      </c>
      <c r="O128" s="9">
        <v>1.02</v>
      </c>
      <c r="T128" s="7">
        <v>30.84</v>
      </c>
      <c r="X128" s="10" t="s">
        <v>428</v>
      </c>
      <c r="Y128" s="11" t="s">
        <v>474</v>
      </c>
      <c r="Z128" t="s">
        <v>430</v>
      </c>
    </row>
    <row r="129" spans="1:26">
      <c r="A129">
        <v>626</v>
      </c>
      <c r="B129" t="s">
        <v>423</v>
      </c>
      <c r="C129" t="s">
        <v>424</v>
      </c>
      <c r="D129" t="s">
        <v>425</v>
      </c>
      <c r="E129" t="s">
        <v>48</v>
      </c>
      <c r="F129" t="s">
        <v>426</v>
      </c>
      <c r="G129" t="s">
        <v>475</v>
      </c>
      <c r="H129" t="s">
        <v>10</v>
      </c>
      <c r="I129">
        <v>0</v>
      </c>
      <c r="J129" t="s">
        <v>468</v>
      </c>
      <c r="K129" s="9">
        <v>15.903</v>
      </c>
      <c r="L129" s="9">
        <v>5.109</v>
      </c>
      <c r="M129" s="9">
        <v>3.427</v>
      </c>
      <c r="N129" t="s">
        <v>14</v>
      </c>
      <c r="T129" s="7">
        <v>32.13</v>
      </c>
      <c r="X129" s="10" t="s">
        <v>436</v>
      </c>
      <c r="Y129" s="11" t="s">
        <v>469</v>
      </c>
      <c r="Z129" t="s">
        <v>430</v>
      </c>
    </row>
    <row r="130" spans="1:26">
      <c r="A130">
        <v>627</v>
      </c>
      <c r="B130" t="s">
        <v>423</v>
      </c>
      <c r="C130" t="s">
        <v>424</v>
      </c>
      <c r="D130" t="s">
        <v>425</v>
      </c>
      <c r="E130" t="s">
        <v>48</v>
      </c>
      <c r="F130" t="s">
        <v>426</v>
      </c>
      <c r="G130" t="s">
        <v>150</v>
      </c>
      <c r="H130" t="s">
        <v>10</v>
      </c>
      <c r="I130">
        <v>0</v>
      </c>
      <c r="J130" t="s">
        <v>470</v>
      </c>
      <c r="K130" s="9">
        <v>19.345</v>
      </c>
      <c r="L130" s="9">
        <v>6.728</v>
      </c>
      <c r="M130" s="9">
        <v>4.76</v>
      </c>
      <c r="N130" t="s">
        <v>14</v>
      </c>
      <c r="O130" s="9">
        <v>1.56</v>
      </c>
      <c r="T130" s="7">
        <v>34.78</v>
      </c>
      <c r="X130" s="10" t="s">
        <v>428</v>
      </c>
      <c r="Y130" s="11" t="s">
        <v>471</v>
      </c>
      <c r="Z130" t="s">
        <v>430</v>
      </c>
    </row>
    <row r="131" spans="1:26">
      <c r="A131">
        <v>412</v>
      </c>
      <c r="B131" t="s">
        <v>476</v>
      </c>
      <c r="C131" t="s">
        <v>476</v>
      </c>
      <c r="D131" t="s">
        <v>476</v>
      </c>
      <c r="E131" t="s">
        <v>477</v>
      </c>
      <c r="F131" t="s">
        <v>476</v>
      </c>
      <c r="G131" t="s">
        <v>50</v>
      </c>
      <c r="H131" t="s">
        <v>10</v>
      </c>
      <c r="I131">
        <v>0</v>
      </c>
      <c r="J131" t="s">
        <v>273</v>
      </c>
      <c r="K131" s="9">
        <v>1.786</v>
      </c>
      <c r="L131" s="9">
        <v>0.177</v>
      </c>
      <c r="M131" s="9">
        <v>0.162</v>
      </c>
      <c r="N131" t="s">
        <v>14</v>
      </c>
      <c r="O131" s="9">
        <v>0.14</v>
      </c>
      <c r="S131" s="7">
        <v>45.8</v>
      </c>
      <c r="T131" s="7">
        <v>9.91</v>
      </c>
      <c r="X131" s="10" t="s">
        <v>428</v>
      </c>
      <c r="Y131" s="11" t="s">
        <v>478</v>
      </c>
      <c r="Z131" t="s">
        <v>430</v>
      </c>
    </row>
    <row r="132" spans="1:26">
      <c r="A132">
        <v>413</v>
      </c>
      <c r="B132" t="s">
        <v>476</v>
      </c>
      <c r="C132" t="s">
        <v>476</v>
      </c>
      <c r="D132" t="s">
        <v>476</v>
      </c>
      <c r="E132" t="s">
        <v>477</v>
      </c>
      <c r="F132" t="s">
        <v>476</v>
      </c>
      <c r="G132" t="s">
        <v>57</v>
      </c>
      <c r="H132" t="s">
        <v>10</v>
      </c>
      <c r="I132">
        <v>0</v>
      </c>
      <c r="J132" t="s">
        <v>276</v>
      </c>
      <c r="K132" s="9">
        <v>1.932</v>
      </c>
      <c r="L132" s="9">
        <v>0.173</v>
      </c>
      <c r="M132" s="9">
        <v>0.157</v>
      </c>
      <c r="N132" t="s">
        <v>14</v>
      </c>
      <c r="O132" s="9">
        <v>0.13</v>
      </c>
      <c r="S132" s="7">
        <v>43.89</v>
      </c>
      <c r="T132" s="7">
        <v>8.949999999999999</v>
      </c>
      <c r="X132" s="10" t="s">
        <v>428</v>
      </c>
      <c r="Y132" s="11" t="s">
        <v>479</v>
      </c>
      <c r="Z132" t="s">
        <v>430</v>
      </c>
    </row>
    <row r="133" spans="1:26">
      <c r="A133">
        <v>414</v>
      </c>
      <c r="B133" t="s">
        <v>476</v>
      </c>
      <c r="C133" t="s">
        <v>476</v>
      </c>
      <c r="D133" t="s">
        <v>476</v>
      </c>
      <c r="E133" t="s">
        <v>477</v>
      </c>
      <c r="F133" t="s">
        <v>476</v>
      </c>
      <c r="G133" t="s">
        <v>62</v>
      </c>
      <c r="H133" t="s">
        <v>10</v>
      </c>
      <c r="I133">
        <v>0</v>
      </c>
      <c r="J133" t="s">
        <v>480</v>
      </c>
      <c r="K133" s="9">
        <v>2.801</v>
      </c>
      <c r="L133" s="9">
        <v>0.449</v>
      </c>
      <c r="M133" s="9">
        <v>0.39</v>
      </c>
      <c r="N133" t="s">
        <v>14</v>
      </c>
      <c r="O133" s="9">
        <v>0.32</v>
      </c>
      <c r="S133" s="7">
        <v>43.91</v>
      </c>
      <c r="T133" s="7">
        <v>16.03</v>
      </c>
      <c r="X133" s="10" t="s">
        <v>428</v>
      </c>
      <c r="Y133" s="11" t="s">
        <v>481</v>
      </c>
      <c r="Z133" t="s">
        <v>430</v>
      </c>
    </row>
    <row r="134" spans="1:26">
      <c r="A134">
        <v>415</v>
      </c>
      <c r="B134" t="s">
        <v>476</v>
      </c>
      <c r="C134" t="s">
        <v>476</v>
      </c>
      <c r="D134" t="s">
        <v>476</v>
      </c>
      <c r="E134" t="s">
        <v>477</v>
      </c>
      <c r="F134" t="s">
        <v>476</v>
      </c>
      <c r="G134" t="s">
        <v>66</v>
      </c>
      <c r="H134" t="s">
        <v>10</v>
      </c>
      <c r="I134">
        <v>0</v>
      </c>
      <c r="J134" t="s">
        <v>482</v>
      </c>
      <c r="K134" s="9">
        <v>3.244</v>
      </c>
      <c r="L134" s="9">
        <v>0.57</v>
      </c>
      <c r="M134" s="9">
        <v>1.781</v>
      </c>
      <c r="N134" t="s">
        <v>14</v>
      </c>
      <c r="S134" s="7">
        <v>44.73</v>
      </c>
      <c r="T134" s="7">
        <v>17.57</v>
      </c>
      <c r="X134" s="10" t="s">
        <v>483</v>
      </c>
      <c r="Y134" s="11" t="s">
        <v>484</v>
      </c>
      <c r="Z134" t="s">
        <v>430</v>
      </c>
    </row>
    <row r="135" spans="1:26">
      <c r="A135">
        <v>416</v>
      </c>
      <c r="B135" t="s">
        <v>476</v>
      </c>
      <c r="C135" t="s">
        <v>476</v>
      </c>
      <c r="D135" t="s">
        <v>476</v>
      </c>
      <c r="E135" t="s">
        <v>477</v>
      </c>
      <c r="F135" t="s">
        <v>476</v>
      </c>
      <c r="G135" t="s">
        <v>71</v>
      </c>
      <c r="H135" t="s">
        <v>10</v>
      </c>
      <c r="I135">
        <v>0</v>
      </c>
      <c r="J135" t="s">
        <v>485</v>
      </c>
      <c r="K135" s="9">
        <v>3.445</v>
      </c>
      <c r="L135" s="9">
        <v>0.662</v>
      </c>
      <c r="M135" s="9">
        <v>0.555</v>
      </c>
      <c r="N135" t="s">
        <v>14</v>
      </c>
      <c r="O135" s="9">
        <v>0.45</v>
      </c>
      <c r="S135" s="7">
        <v>46.07</v>
      </c>
      <c r="T135" s="7">
        <v>19.22</v>
      </c>
      <c r="X135" s="10" t="s">
        <v>428</v>
      </c>
      <c r="Y135" s="11" t="s">
        <v>486</v>
      </c>
      <c r="Z135" t="s">
        <v>430</v>
      </c>
    </row>
    <row r="136" spans="1:26">
      <c r="A136">
        <v>417</v>
      </c>
      <c r="B136" t="s">
        <v>476</v>
      </c>
      <c r="C136" t="s">
        <v>476</v>
      </c>
      <c r="D136" t="s">
        <v>476</v>
      </c>
      <c r="E136" t="s">
        <v>477</v>
      </c>
      <c r="F136" t="s">
        <v>476</v>
      </c>
      <c r="G136" t="s">
        <v>75</v>
      </c>
      <c r="H136" t="s">
        <v>10</v>
      </c>
      <c r="I136">
        <v>0</v>
      </c>
      <c r="J136" t="s">
        <v>487</v>
      </c>
      <c r="K136" s="9">
        <v>3.85</v>
      </c>
      <c r="L136" s="9">
        <v>0.831</v>
      </c>
      <c r="M136" s="9">
        <v>0.71</v>
      </c>
      <c r="N136" t="s">
        <v>14</v>
      </c>
      <c r="O136" s="9">
        <v>0.58</v>
      </c>
      <c r="S136" s="7">
        <v>47.53</v>
      </c>
      <c r="T136" s="7">
        <v>21.58</v>
      </c>
      <c r="X136" s="10" t="s">
        <v>428</v>
      </c>
      <c r="Y136" s="11" t="s">
        <v>488</v>
      </c>
      <c r="Z136" t="s">
        <v>430</v>
      </c>
    </row>
    <row r="137" spans="1:26">
      <c r="A137">
        <v>418</v>
      </c>
      <c r="B137" t="s">
        <v>476</v>
      </c>
      <c r="C137" t="s">
        <v>476</v>
      </c>
      <c r="D137" t="s">
        <v>476</v>
      </c>
      <c r="E137" t="s">
        <v>477</v>
      </c>
      <c r="F137" t="s">
        <v>476</v>
      </c>
      <c r="G137" t="s">
        <v>80</v>
      </c>
      <c r="H137" t="s">
        <v>10</v>
      </c>
      <c r="I137">
        <v>0</v>
      </c>
      <c r="J137" t="s">
        <v>489</v>
      </c>
      <c r="K137" s="9">
        <v>4.313</v>
      </c>
      <c r="L137" s="9">
        <v>0.948</v>
      </c>
      <c r="M137" s="9">
        <v>0.923</v>
      </c>
      <c r="N137" t="s">
        <v>14</v>
      </c>
      <c r="O137" s="9">
        <v>0.75</v>
      </c>
      <c r="S137" s="7">
        <v>48.37</v>
      </c>
      <c r="T137" s="7">
        <v>21.98</v>
      </c>
      <c r="X137" s="10" t="s">
        <v>428</v>
      </c>
      <c r="Y137" s="11" t="s">
        <v>490</v>
      </c>
      <c r="Z137" t="s">
        <v>430</v>
      </c>
    </row>
    <row r="138" spans="1:26">
      <c r="A138">
        <v>419</v>
      </c>
      <c r="B138" t="s">
        <v>476</v>
      </c>
      <c r="C138" t="s">
        <v>476</v>
      </c>
      <c r="D138" t="s">
        <v>476</v>
      </c>
      <c r="E138" t="s">
        <v>477</v>
      </c>
      <c r="F138" t="s">
        <v>476</v>
      </c>
      <c r="G138" t="s">
        <v>85</v>
      </c>
      <c r="H138" t="s">
        <v>10</v>
      </c>
      <c r="I138">
        <v>0</v>
      </c>
      <c r="J138" t="s">
        <v>491</v>
      </c>
      <c r="K138" s="9">
        <v>4.826</v>
      </c>
      <c r="L138" s="9">
        <v>1.207</v>
      </c>
      <c r="M138" s="9">
        <v>0.974</v>
      </c>
      <c r="N138" t="s">
        <v>14</v>
      </c>
      <c r="S138" s="7">
        <v>50.27</v>
      </c>
      <c r="T138" s="7">
        <v>25.01</v>
      </c>
      <c r="X138" s="10" t="s">
        <v>483</v>
      </c>
      <c r="Y138" s="11" t="s">
        <v>492</v>
      </c>
      <c r="Z138" t="s">
        <v>430</v>
      </c>
    </row>
    <row r="139" spans="1:26">
      <c r="A139">
        <v>420</v>
      </c>
      <c r="B139" t="s">
        <v>476</v>
      </c>
      <c r="C139" t="s">
        <v>476</v>
      </c>
      <c r="D139" t="s">
        <v>476</v>
      </c>
      <c r="E139" t="s">
        <v>477</v>
      </c>
      <c r="F139" t="s">
        <v>476</v>
      </c>
      <c r="G139" t="s">
        <v>89</v>
      </c>
      <c r="H139" t="s">
        <v>10</v>
      </c>
      <c r="I139">
        <v>0</v>
      </c>
      <c r="J139" t="s">
        <v>493</v>
      </c>
      <c r="K139" s="9">
        <v>5.887</v>
      </c>
      <c r="L139" s="9">
        <v>0.951</v>
      </c>
      <c r="M139" s="9">
        <v>0.786</v>
      </c>
      <c r="N139" t="s">
        <v>14</v>
      </c>
      <c r="O139" s="9">
        <v>0.5600000000000001</v>
      </c>
      <c r="S139" s="7">
        <v>47.87</v>
      </c>
      <c r="T139" s="7">
        <v>16.15</v>
      </c>
      <c r="X139" s="10" t="s">
        <v>428</v>
      </c>
      <c r="Y139" s="11" t="s">
        <v>494</v>
      </c>
      <c r="Z139" t="s">
        <v>430</v>
      </c>
    </row>
    <row r="140" spans="1:26">
      <c r="A140">
        <v>421</v>
      </c>
      <c r="B140" t="s">
        <v>476</v>
      </c>
      <c r="C140" t="s">
        <v>476</v>
      </c>
      <c r="D140" t="s">
        <v>476</v>
      </c>
      <c r="E140" t="s">
        <v>477</v>
      </c>
      <c r="F140" t="s">
        <v>476</v>
      </c>
      <c r="G140" t="s">
        <v>93</v>
      </c>
      <c r="H140" t="s">
        <v>10</v>
      </c>
      <c r="I140">
        <v>0</v>
      </c>
      <c r="J140" t="s">
        <v>495</v>
      </c>
      <c r="K140" s="9">
        <v>6.55</v>
      </c>
      <c r="L140" s="9">
        <v>0.526</v>
      </c>
      <c r="M140" s="9">
        <v>0.447</v>
      </c>
      <c r="N140" t="s">
        <v>14</v>
      </c>
      <c r="O140" s="9">
        <v>0.27</v>
      </c>
      <c r="S140" s="7">
        <v>46.23</v>
      </c>
      <c r="T140" s="7">
        <v>8.029999999999999</v>
      </c>
      <c r="X140" s="10" t="s">
        <v>428</v>
      </c>
      <c r="Y140" s="11" t="s">
        <v>496</v>
      </c>
      <c r="Z140" t="s">
        <v>430</v>
      </c>
    </row>
    <row r="141" spans="1:26">
      <c r="A141">
        <v>422</v>
      </c>
      <c r="B141" t="s">
        <v>476</v>
      </c>
      <c r="C141" t="s">
        <v>476</v>
      </c>
      <c r="D141" t="s">
        <v>476</v>
      </c>
      <c r="E141" t="s">
        <v>477</v>
      </c>
      <c r="F141" t="s">
        <v>476</v>
      </c>
      <c r="G141" t="s">
        <v>98</v>
      </c>
      <c r="H141" t="s">
        <v>10</v>
      </c>
      <c r="I141">
        <v>0</v>
      </c>
      <c r="J141" t="s">
        <v>497</v>
      </c>
      <c r="K141" s="9">
        <v>5.565</v>
      </c>
      <c r="L141" s="9">
        <v>-0.064</v>
      </c>
      <c r="M141" s="9">
        <v>0.066</v>
      </c>
      <c r="N141" t="s">
        <v>14</v>
      </c>
      <c r="O141" s="9">
        <v>0.04</v>
      </c>
      <c r="S141" s="7">
        <v>42.3</v>
      </c>
      <c r="T141" s="7">
        <v>-1.15</v>
      </c>
      <c r="X141" s="10" t="s">
        <v>428</v>
      </c>
      <c r="Y141" s="11" t="s">
        <v>498</v>
      </c>
      <c r="Z141" t="s">
        <v>430</v>
      </c>
    </row>
    <row r="142" spans="1:26">
      <c r="A142">
        <v>423</v>
      </c>
      <c r="B142" t="s">
        <v>476</v>
      </c>
      <c r="C142" t="s">
        <v>476</v>
      </c>
      <c r="D142" t="s">
        <v>476</v>
      </c>
      <c r="E142" t="s">
        <v>477</v>
      </c>
      <c r="F142" t="s">
        <v>476</v>
      </c>
      <c r="G142" t="s">
        <v>103</v>
      </c>
      <c r="H142" t="s">
        <v>10</v>
      </c>
      <c r="I142">
        <v>0</v>
      </c>
      <c r="J142" t="s">
        <v>499</v>
      </c>
      <c r="K142" s="9">
        <v>5.599</v>
      </c>
      <c r="L142" s="9">
        <v>-0.149</v>
      </c>
      <c r="M142" s="9">
        <v>0.021</v>
      </c>
      <c r="N142" t="s">
        <v>14</v>
      </c>
      <c r="S142" s="7">
        <v>42.92</v>
      </c>
      <c r="T142" s="7">
        <v>-2.66</v>
      </c>
      <c r="X142" s="10" t="s">
        <v>483</v>
      </c>
      <c r="Y142" s="11" t="s">
        <v>500</v>
      </c>
      <c r="Z142" t="s">
        <v>430</v>
      </c>
    </row>
    <row r="143" spans="1:26">
      <c r="A143">
        <v>424</v>
      </c>
      <c r="B143" t="s">
        <v>476</v>
      </c>
      <c r="C143" t="s">
        <v>476</v>
      </c>
      <c r="D143" t="s">
        <v>476</v>
      </c>
      <c r="E143" t="s">
        <v>477</v>
      </c>
      <c r="F143" t="s">
        <v>476</v>
      </c>
      <c r="G143" t="s">
        <v>107</v>
      </c>
      <c r="H143" t="s">
        <v>10</v>
      </c>
      <c r="I143">
        <v>0</v>
      </c>
      <c r="J143" t="s">
        <v>501</v>
      </c>
      <c r="K143" s="9">
        <v>5.353</v>
      </c>
      <c r="L143" s="9">
        <v>-0.145</v>
      </c>
      <c r="M143" s="9">
        <v>-0.139</v>
      </c>
      <c r="N143" t="s">
        <v>14</v>
      </c>
      <c r="O143" s="9">
        <v>-0.09</v>
      </c>
      <c r="S143" s="7">
        <v>44.07</v>
      </c>
      <c r="T143" s="7">
        <v>-2.71</v>
      </c>
      <c r="X143" s="10" t="s">
        <v>428</v>
      </c>
      <c r="Y143" s="11" t="s">
        <v>502</v>
      </c>
      <c r="Z143" t="s">
        <v>430</v>
      </c>
    </row>
    <row r="144" spans="1:26">
      <c r="A144">
        <v>425</v>
      </c>
      <c r="B144" t="s">
        <v>476</v>
      </c>
      <c r="C144" t="s">
        <v>476</v>
      </c>
      <c r="D144" t="s">
        <v>476</v>
      </c>
      <c r="E144" t="s">
        <v>477</v>
      </c>
      <c r="F144" t="s">
        <v>476</v>
      </c>
      <c r="G144" t="s">
        <v>112</v>
      </c>
      <c r="H144" t="s">
        <v>10</v>
      </c>
      <c r="I144">
        <v>0</v>
      </c>
      <c r="J144" t="s">
        <v>316</v>
      </c>
      <c r="K144" s="9">
        <v>5.359</v>
      </c>
      <c r="L144" s="9">
        <v>-0.02</v>
      </c>
      <c r="M144" s="9">
        <v>0.027</v>
      </c>
      <c r="N144" t="s">
        <v>14</v>
      </c>
      <c r="O144" s="9">
        <v>0.02</v>
      </c>
      <c r="S144" s="7">
        <v>45.59</v>
      </c>
      <c r="T144" s="7">
        <v>-0.37</v>
      </c>
      <c r="X144" s="10" t="s">
        <v>428</v>
      </c>
      <c r="Y144" s="11" t="s">
        <v>503</v>
      </c>
      <c r="Z144" t="s">
        <v>430</v>
      </c>
    </row>
    <row r="145" spans="1:26">
      <c r="A145">
        <v>426</v>
      </c>
      <c r="B145" t="s">
        <v>476</v>
      </c>
      <c r="C145" t="s">
        <v>476</v>
      </c>
      <c r="D145" t="s">
        <v>476</v>
      </c>
      <c r="E145" t="s">
        <v>477</v>
      </c>
      <c r="F145" t="s">
        <v>476</v>
      </c>
      <c r="G145" t="s">
        <v>116</v>
      </c>
      <c r="H145" t="s">
        <v>10</v>
      </c>
      <c r="I145">
        <v>0</v>
      </c>
      <c r="J145" t="s">
        <v>319</v>
      </c>
      <c r="K145" s="9">
        <v>5.8</v>
      </c>
      <c r="L145" s="9">
        <v>0.224</v>
      </c>
      <c r="M145" s="9">
        <v>0.299</v>
      </c>
      <c r="N145" t="s">
        <v>14</v>
      </c>
      <c r="O145" s="9">
        <v>0.18</v>
      </c>
      <c r="S145" s="7">
        <v>47.36</v>
      </c>
      <c r="T145" s="7">
        <v>3.86</v>
      </c>
      <c r="X145" s="10" t="s">
        <v>428</v>
      </c>
      <c r="Y145" s="11" t="s">
        <v>504</v>
      </c>
      <c r="Z145" t="s">
        <v>430</v>
      </c>
    </row>
    <row r="146" spans="1:26">
      <c r="A146">
        <v>427</v>
      </c>
      <c r="B146" t="s">
        <v>476</v>
      </c>
      <c r="C146" t="s">
        <v>476</v>
      </c>
      <c r="D146" t="s">
        <v>476</v>
      </c>
      <c r="E146" t="s">
        <v>477</v>
      </c>
      <c r="F146" t="s">
        <v>476</v>
      </c>
      <c r="G146" t="s">
        <v>120</v>
      </c>
      <c r="H146" t="s">
        <v>10</v>
      </c>
      <c r="I146">
        <v>0</v>
      </c>
      <c r="J146" t="s">
        <v>505</v>
      </c>
      <c r="K146" s="9">
        <v>6.168</v>
      </c>
      <c r="L146" s="9">
        <v>0.342</v>
      </c>
      <c r="M146" s="9">
        <v>0.667</v>
      </c>
      <c r="N146" t="s">
        <v>14</v>
      </c>
      <c r="S146" s="7">
        <v>47.2</v>
      </c>
      <c r="T146" s="7">
        <v>5.54</v>
      </c>
      <c r="X146" s="10" t="s">
        <v>483</v>
      </c>
      <c r="Y146" s="11" t="s">
        <v>506</v>
      </c>
      <c r="Z146" t="s">
        <v>430</v>
      </c>
    </row>
    <row r="147" spans="1:26">
      <c r="A147">
        <v>428</v>
      </c>
      <c r="B147" t="s">
        <v>476</v>
      </c>
      <c r="C147" t="s">
        <v>476</v>
      </c>
      <c r="D147" t="s">
        <v>476</v>
      </c>
      <c r="E147" t="s">
        <v>477</v>
      </c>
      <c r="F147" t="s">
        <v>476</v>
      </c>
      <c r="G147" t="s">
        <v>124</v>
      </c>
      <c r="H147" t="s">
        <v>10</v>
      </c>
      <c r="I147">
        <v>0</v>
      </c>
      <c r="J147" t="s">
        <v>507</v>
      </c>
      <c r="K147" s="9">
        <v>5.473</v>
      </c>
      <c r="L147" s="9">
        <v>0.036</v>
      </c>
      <c r="M147" s="9">
        <v>0.123</v>
      </c>
      <c r="N147" t="s">
        <v>14</v>
      </c>
      <c r="O147" s="9">
        <v>0.07000000000000001</v>
      </c>
      <c r="S147" s="7">
        <v>46.78</v>
      </c>
      <c r="T147" s="7">
        <v>0.66</v>
      </c>
      <c r="X147" s="10" t="s">
        <v>428</v>
      </c>
      <c r="Y147" s="11" t="s">
        <v>508</v>
      </c>
      <c r="Z147" t="s">
        <v>430</v>
      </c>
    </row>
    <row r="148" spans="1:26">
      <c r="A148">
        <v>429</v>
      </c>
      <c r="B148" t="s">
        <v>476</v>
      </c>
      <c r="C148" t="s">
        <v>476</v>
      </c>
      <c r="D148" t="s">
        <v>476</v>
      </c>
      <c r="E148" t="s">
        <v>477</v>
      </c>
      <c r="F148" t="s">
        <v>476</v>
      </c>
      <c r="G148" t="s">
        <v>128</v>
      </c>
      <c r="H148" t="s">
        <v>10</v>
      </c>
      <c r="I148">
        <v>0</v>
      </c>
      <c r="J148" t="s">
        <v>509</v>
      </c>
      <c r="K148" s="9">
        <v>5.835</v>
      </c>
      <c r="L148" s="9">
        <v>0.269</v>
      </c>
      <c r="M148" s="9">
        <v>0.265</v>
      </c>
      <c r="N148" t="s">
        <v>14</v>
      </c>
      <c r="O148" s="9">
        <v>0.16</v>
      </c>
      <c r="S148" s="7">
        <v>49.08</v>
      </c>
      <c r="T148" s="7">
        <v>4.61</v>
      </c>
      <c r="X148" s="10" t="s">
        <v>428</v>
      </c>
      <c r="Y148" s="11" t="s">
        <v>510</v>
      </c>
      <c r="Z148" t="s">
        <v>430</v>
      </c>
    </row>
    <row r="149" spans="1:26">
      <c r="A149">
        <v>430</v>
      </c>
      <c r="B149" t="s">
        <v>476</v>
      </c>
      <c r="C149" t="s">
        <v>476</v>
      </c>
      <c r="D149" t="s">
        <v>476</v>
      </c>
      <c r="E149" t="s">
        <v>477</v>
      </c>
      <c r="F149" t="s">
        <v>476</v>
      </c>
      <c r="G149" t="s">
        <v>133</v>
      </c>
      <c r="H149" t="s">
        <v>10</v>
      </c>
      <c r="I149">
        <v>0</v>
      </c>
      <c r="J149" t="s">
        <v>511</v>
      </c>
      <c r="K149" s="9">
        <v>6.819</v>
      </c>
      <c r="L149" s="9">
        <v>0.724</v>
      </c>
      <c r="M149" s="9">
        <v>0.771</v>
      </c>
      <c r="N149" t="s">
        <v>14</v>
      </c>
      <c r="O149" s="9">
        <v>0.47</v>
      </c>
      <c r="S149" s="7">
        <v>50.14</v>
      </c>
      <c r="T149" s="7">
        <v>10.62</v>
      </c>
      <c r="X149" s="10" t="s">
        <v>428</v>
      </c>
      <c r="Y149" s="11" t="s">
        <v>512</v>
      </c>
      <c r="Z149" t="s">
        <v>430</v>
      </c>
    </row>
    <row r="150" spans="1:26">
      <c r="A150">
        <v>431</v>
      </c>
      <c r="B150" t="s">
        <v>476</v>
      </c>
      <c r="C150" t="s">
        <v>476</v>
      </c>
      <c r="D150" t="s">
        <v>476</v>
      </c>
      <c r="E150" t="s">
        <v>477</v>
      </c>
      <c r="F150" t="s">
        <v>476</v>
      </c>
      <c r="G150" t="s">
        <v>137</v>
      </c>
      <c r="H150" t="s">
        <v>10</v>
      </c>
      <c r="I150">
        <v>0</v>
      </c>
      <c r="J150" t="s">
        <v>505</v>
      </c>
      <c r="K150" s="9">
        <v>7.658</v>
      </c>
      <c r="L150" s="9">
        <v>0.871</v>
      </c>
      <c r="M150" s="9">
        <v>0.482</v>
      </c>
      <c r="N150" t="s">
        <v>14</v>
      </c>
      <c r="S150" s="7">
        <v>50.69</v>
      </c>
      <c r="T150" s="7">
        <v>11.37</v>
      </c>
      <c r="X150" s="10" t="s">
        <v>483</v>
      </c>
      <c r="Y150" s="11" t="s">
        <v>506</v>
      </c>
      <c r="Z150" t="s">
        <v>430</v>
      </c>
    </row>
    <row r="151" spans="1:26">
      <c r="A151">
        <v>432</v>
      </c>
      <c r="B151" t="s">
        <v>476</v>
      </c>
      <c r="C151" t="s">
        <v>476</v>
      </c>
      <c r="D151" t="s">
        <v>476</v>
      </c>
      <c r="E151" t="s">
        <v>477</v>
      </c>
      <c r="F151" t="s">
        <v>476</v>
      </c>
      <c r="G151" t="s">
        <v>141</v>
      </c>
      <c r="H151" t="s">
        <v>10</v>
      </c>
      <c r="I151">
        <v>0</v>
      </c>
      <c r="J151" t="s">
        <v>513</v>
      </c>
      <c r="K151" s="9">
        <v>7.438</v>
      </c>
      <c r="L151" s="9">
        <v>0.806</v>
      </c>
      <c r="M151" s="9">
        <v>0.709</v>
      </c>
      <c r="N151" t="s">
        <v>14</v>
      </c>
      <c r="O151" s="9">
        <v>0.44</v>
      </c>
      <c r="S151" s="7">
        <v>50.23</v>
      </c>
      <c r="T151" s="7">
        <v>10.84</v>
      </c>
      <c r="X151" s="10" t="s">
        <v>428</v>
      </c>
      <c r="Y151" s="11" t="s">
        <v>514</v>
      </c>
      <c r="Z151" t="s">
        <v>430</v>
      </c>
    </row>
    <row r="152" spans="1:26">
      <c r="A152">
        <v>433</v>
      </c>
      <c r="B152" t="s">
        <v>476</v>
      </c>
      <c r="C152" t="s">
        <v>476</v>
      </c>
      <c r="D152" t="s">
        <v>476</v>
      </c>
      <c r="E152" t="s">
        <v>477</v>
      </c>
      <c r="F152" t="s">
        <v>476</v>
      </c>
      <c r="G152" t="s">
        <v>146</v>
      </c>
      <c r="H152" t="s">
        <v>10</v>
      </c>
      <c r="I152">
        <v>0</v>
      </c>
      <c r="J152" t="s">
        <v>515</v>
      </c>
      <c r="K152" s="9">
        <v>7.685</v>
      </c>
      <c r="L152" s="9">
        <v>-0.134</v>
      </c>
      <c r="M152" s="9">
        <v>0.872</v>
      </c>
      <c r="N152" t="s">
        <v>14</v>
      </c>
      <c r="O152" s="9">
        <v>0.54</v>
      </c>
      <c r="S152" s="7">
        <v>39.8</v>
      </c>
      <c r="T152" s="7">
        <v>-1.74</v>
      </c>
      <c r="X152" s="10" t="s">
        <v>428</v>
      </c>
      <c r="Y152" s="11" t="s">
        <v>516</v>
      </c>
      <c r="Z152" t="s">
        <v>430</v>
      </c>
    </row>
    <row r="153" spans="1:26">
      <c r="A153">
        <v>434</v>
      </c>
      <c r="B153" t="s">
        <v>476</v>
      </c>
      <c r="C153" t="s">
        <v>476</v>
      </c>
      <c r="D153" t="s">
        <v>476</v>
      </c>
      <c r="E153" t="s">
        <v>477</v>
      </c>
      <c r="F153" t="s">
        <v>476</v>
      </c>
      <c r="G153" t="s">
        <v>472</v>
      </c>
      <c r="H153" t="s">
        <v>10</v>
      </c>
      <c r="I153">
        <v>0</v>
      </c>
      <c r="J153" t="s">
        <v>511</v>
      </c>
      <c r="K153" s="9">
        <v>9.246</v>
      </c>
      <c r="L153" s="9">
        <v>1.27</v>
      </c>
      <c r="M153" s="9">
        <v>1.243</v>
      </c>
      <c r="N153" t="s">
        <v>14</v>
      </c>
      <c r="O153" s="9">
        <v>0.75</v>
      </c>
      <c r="S153" s="7">
        <v>51.7</v>
      </c>
      <c r="T153" s="7">
        <v>13.74</v>
      </c>
      <c r="X153" s="10" t="s">
        <v>428</v>
      </c>
      <c r="Y153" s="11" t="s">
        <v>512</v>
      </c>
      <c r="Z153" t="s">
        <v>430</v>
      </c>
    </row>
    <row r="154" spans="1:26">
      <c r="A154">
        <v>435</v>
      </c>
      <c r="B154" t="s">
        <v>476</v>
      </c>
      <c r="C154" t="s">
        <v>476</v>
      </c>
      <c r="D154" t="s">
        <v>476</v>
      </c>
      <c r="E154" t="s">
        <v>477</v>
      </c>
      <c r="F154" t="s">
        <v>476</v>
      </c>
      <c r="G154" t="s">
        <v>475</v>
      </c>
      <c r="H154" t="s">
        <v>10</v>
      </c>
      <c r="I154">
        <v>0</v>
      </c>
      <c r="J154" t="s">
        <v>505</v>
      </c>
      <c r="K154" s="9">
        <v>10.27</v>
      </c>
      <c r="L154" s="9">
        <v>1.752</v>
      </c>
      <c r="M154" s="9">
        <v>1.511</v>
      </c>
      <c r="N154" t="s">
        <v>14</v>
      </c>
      <c r="S154" s="7">
        <v>54.3</v>
      </c>
      <c r="T154" s="7">
        <v>17.06</v>
      </c>
      <c r="X154" s="10" t="s">
        <v>483</v>
      </c>
      <c r="Y154" s="11" t="s">
        <v>506</v>
      </c>
      <c r="Z154" t="s">
        <v>430</v>
      </c>
    </row>
    <row r="155" spans="1:26">
      <c r="A155">
        <v>436</v>
      </c>
      <c r="B155" t="s">
        <v>476</v>
      </c>
      <c r="C155" t="s">
        <v>476</v>
      </c>
      <c r="D155" t="s">
        <v>476</v>
      </c>
      <c r="E155" t="s">
        <v>477</v>
      </c>
      <c r="F155" t="s">
        <v>476</v>
      </c>
      <c r="G155" t="s">
        <v>150</v>
      </c>
      <c r="H155" t="s">
        <v>10</v>
      </c>
      <c r="I155">
        <v>0</v>
      </c>
      <c r="J155" t="s">
        <v>513</v>
      </c>
      <c r="K155" s="9">
        <v>10.253</v>
      </c>
      <c r="L155" s="9">
        <v>1.476</v>
      </c>
      <c r="M155" s="9">
        <v>1.383</v>
      </c>
      <c r="N155" t="s">
        <v>14</v>
      </c>
      <c r="O155" s="9">
        <v>0.84</v>
      </c>
      <c r="S155" s="7">
        <v>52.82</v>
      </c>
      <c r="T155" s="7">
        <v>14.4</v>
      </c>
      <c r="X155" s="10" t="s">
        <v>428</v>
      </c>
      <c r="Y155" s="11" t="s">
        <v>514</v>
      </c>
      <c r="Z155" t="s">
        <v>430</v>
      </c>
    </row>
    <row r="156" spans="1:26">
      <c r="A156">
        <v>437</v>
      </c>
      <c r="B156" t="s">
        <v>476</v>
      </c>
      <c r="C156" t="s">
        <v>476</v>
      </c>
      <c r="D156" t="s">
        <v>476</v>
      </c>
      <c r="E156" t="s">
        <v>477</v>
      </c>
      <c r="F156" t="s">
        <v>476</v>
      </c>
      <c r="G156" t="s">
        <v>155</v>
      </c>
      <c r="H156" t="s">
        <v>10</v>
      </c>
      <c r="I156">
        <v>0</v>
      </c>
      <c r="J156" t="s">
        <v>515</v>
      </c>
      <c r="K156" s="9">
        <v>11.536</v>
      </c>
      <c r="L156" s="9">
        <v>1.99</v>
      </c>
      <c r="M156" s="9">
        <v>2.297</v>
      </c>
      <c r="N156" t="s">
        <v>14</v>
      </c>
      <c r="O156" s="9">
        <v>1.38</v>
      </c>
      <c r="S156" s="7">
        <v>53.77</v>
      </c>
      <c r="T156" s="7">
        <v>17.25</v>
      </c>
      <c r="X156" s="10" t="s">
        <v>428</v>
      </c>
      <c r="Y156" s="11" t="s">
        <v>516</v>
      </c>
      <c r="Z156" t="s">
        <v>430</v>
      </c>
    </row>
    <row r="157" spans="1:26">
      <c r="A157">
        <v>284</v>
      </c>
      <c r="B157" t="s">
        <v>517</v>
      </c>
      <c r="C157" t="s">
        <v>518</v>
      </c>
      <c r="D157" t="s">
        <v>519</v>
      </c>
      <c r="E157" t="s">
        <v>477</v>
      </c>
      <c r="F157" t="s">
        <v>517</v>
      </c>
      <c r="G157" t="s">
        <v>93</v>
      </c>
      <c r="H157" t="s">
        <v>10</v>
      </c>
      <c r="I157">
        <v>0</v>
      </c>
      <c r="J157" t="s">
        <v>520</v>
      </c>
      <c r="K157" s="9">
        <v>0.63</v>
      </c>
      <c r="L157" s="9">
        <v>0.183</v>
      </c>
      <c r="M157" s="9">
        <v>0.114</v>
      </c>
      <c r="N157" t="s">
        <v>14</v>
      </c>
      <c r="O157" s="9">
        <v>0.11</v>
      </c>
      <c r="S157" s="7">
        <v>96.03</v>
      </c>
      <c r="T157" s="7">
        <v>29.05</v>
      </c>
      <c r="X157" s="10" t="s">
        <v>428</v>
      </c>
      <c r="Y157" s="11" t="s">
        <v>521</v>
      </c>
      <c r="Z157" t="s">
        <v>522</v>
      </c>
    </row>
    <row r="158" spans="1:26">
      <c r="A158">
        <v>285</v>
      </c>
      <c r="B158" t="s">
        <v>517</v>
      </c>
      <c r="C158" t="s">
        <v>518</v>
      </c>
      <c r="D158" t="s">
        <v>519</v>
      </c>
      <c r="E158" t="s">
        <v>477</v>
      </c>
      <c r="F158" t="s">
        <v>517</v>
      </c>
      <c r="G158" t="s">
        <v>98</v>
      </c>
      <c r="H158" t="s">
        <v>10</v>
      </c>
      <c r="I158">
        <v>0</v>
      </c>
      <c r="J158" t="s">
        <v>523</v>
      </c>
      <c r="K158" s="9">
        <v>0.724</v>
      </c>
      <c r="L158" s="9">
        <v>0.244</v>
      </c>
      <c r="M158" s="9">
        <v>0.182</v>
      </c>
      <c r="N158" t="s">
        <v>14</v>
      </c>
      <c r="O158" s="9">
        <v>0.18</v>
      </c>
      <c r="S158" s="7">
        <v>95.98999999999999</v>
      </c>
      <c r="T158" s="7">
        <v>33.7</v>
      </c>
      <c r="X158" s="10" t="s">
        <v>428</v>
      </c>
      <c r="Y158" s="11" t="s">
        <v>524</v>
      </c>
      <c r="Z158" t="s">
        <v>522</v>
      </c>
    </row>
    <row r="159" spans="1:26">
      <c r="A159">
        <v>286</v>
      </c>
      <c r="B159" t="s">
        <v>517</v>
      </c>
      <c r="C159" t="s">
        <v>518</v>
      </c>
      <c r="D159" t="s">
        <v>519</v>
      </c>
      <c r="E159" t="s">
        <v>477</v>
      </c>
      <c r="F159" t="s">
        <v>517</v>
      </c>
      <c r="G159" t="s">
        <v>107</v>
      </c>
      <c r="H159" t="s">
        <v>10</v>
      </c>
      <c r="I159">
        <v>0</v>
      </c>
      <c r="J159" t="s">
        <v>129</v>
      </c>
      <c r="K159" s="9">
        <v>0.675</v>
      </c>
      <c r="L159" s="9">
        <v>0.111</v>
      </c>
      <c r="M159" s="9">
        <v>0.105</v>
      </c>
      <c r="N159" t="s">
        <v>14</v>
      </c>
      <c r="O159" s="9">
        <v>0.1</v>
      </c>
      <c r="S159" s="7">
        <v>95.41</v>
      </c>
      <c r="T159" s="7">
        <v>16.44</v>
      </c>
      <c r="X159" s="10" t="s">
        <v>428</v>
      </c>
      <c r="Y159" s="11" t="s">
        <v>525</v>
      </c>
      <c r="Z159" t="s">
        <v>522</v>
      </c>
    </row>
    <row r="160" spans="1:26">
      <c r="A160">
        <v>287</v>
      </c>
      <c r="B160" t="s">
        <v>517</v>
      </c>
      <c r="C160" t="s">
        <v>518</v>
      </c>
      <c r="D160" t="s">
        <v>519</v>
      </c>
      <c r="E160" t="s">
        <v>477</v>
      </c>
      <c r="F160" t="s">
        <v>517</v>
      </c>
      <c r="G160" t="s">
        <v>112</v>
      </c>
      <c r="H160" t="s">
        <v>10</v>
      </c>
      <c r="I160">
        <v>0</v>
      </c>
      <c r="J160" t="s">
        <v>526</v>
      </c>
      <c r="K160" s="9">
        <v>0.806</v>
      </c>
      <c r="L160" s="9">
        <v>-0.156</v>
      </c>
      <c r="M160" s="9">
        <v>-0.11</v>
      </c>
      <c r="N160" t="s">
        <v>14</v>
      </c>
      <c r="O160" s="9">
        <v>-0.11</v>
      </c>
      <c r="S160" s="7">
        <v>94.29000000000001</v>
      </c>
      <c r="T160" s="7">
        <v>-19.35</v>
      </c>
      <c r="X160" s="10" t="s">
        <v>428</v>
      </c>
      <c r="Y160" s="11" t="s">
        <v>527</v>
      </c>
      <c r="Z160" t="s">
        <v>522</v>
      </c>
    </row>
    <row r="161" spans="1:26">
      <c r="A161">
        <v>288</v>
      </c>
      <c r="B161" t="s">
        <v>517</v>
      </c>
      <c r="C161" t="s">
        <v>518</v>
      </c>
      <c r="D161" t="s">
        <v>519</v>
      </c>
      <c r="E161" t="s">
        <v>477</v>
      </c>
      <c r="F161" t="s">
        <v>517</v>
      </c>
      <c r="G161" t="s">
        <v>116</v>
      </c>
      <c r="H161" t="s">
        <v>10</v>
      </c>
      <c r="I161">
        <v>0</v>
      </c>
      <c r="J161" t="s">
        <v>499</v>
      </c>
      <c r="K161" s="9">
        <v>0.824</v>
      </c>
      <c r="L161" s="9">
        <v>0.134</v>
      </c>
      <c r="M161" s="9">
        <v>0.08699999999999999</v>
      </c>
      <c r="N161" t="s">
        <v>14</v>
      </c>
      <c r="O161" s="9">
        <v>0.08</v>
      </c>
      <c r="S161" s="7">
        <v>95.63</v>
      </c>
      <c r="T161" s="7">
        <v>16.26</v>
      </c>
      <c r="X161" s="10" t="s">
        <v>428</v>
      </c>
      <c r="Y161" s="11" t="s">
        <v>528</v>
      </c>
      <c r="Z161" t="s">
        <v>522</v>
      </c>
    </row>
    <row r="162" spans="1:26">
      <c r="A162">
        <v>289</v>
      </c>
      <c r="B162" t="s">
        <v>517</v>
      </c>
      <c r="C162" t="s">
        <v>518</v>
      </c>
      <c r="D162" t="s">
        <v>519</v>
      </c>
      <c r="E162" t="s">
        <v>477</v>
      </c>
      <c r="F162" t="s">
        <v>517</v>
      </c>
      <c r="G162" t="s">
        <v>124</v>
      </c>
      <c r="H162" t="s">
        <v>10</v>
      </c>
      <c r="I162">
        <v>0</v>
      </c>
      <c r="J162" t="s">
        <v>329</v>
      </c>
      <c r="K162" s="9">
        <v>0.9389999999999999</v>
      </c>
      <c r="L162" s="9">
        <v>0.182</v>
      </c>
      <c r="M162" s="9">
        <v>0.223</v>
      </c>
      <c r="N162" t="s">
        <v>14</v>
      </c>
      <c r="O162" s="9">
        <v>0.21</v>
      </c>
      <c r="S162" s="7">
        <v>96.48999999999999</v>
      </c>
      <c r="T162" s="7">
        <v>19.38</v>
      </c>
      <c r="X162" s="10" t="s">
        <v>428</v>
      </c>
      <c r="Y162" s="11" t="s">
        <v>529</v>
      </c>
      <c r="Z162" t="s">
        <v>522</v>
      </c>
    </row>
    <row r="163" spans="1:26">
      <c r="A163">
        <v>290</v>
      </c>
      <c r="B163" t="s">
        <v>517</v>
      </c>
      <c r="C163" t="s">
        <v>518</v>
      </c>
      <c r="D163" t="s">
        <v>519</v>
      </c>
      <c r="E163" t="s">
        <v>477</v>
      </c>
      <c r="F163" t="s">
        <v>517</v>
      </c>
      <c r="G163" t="s">
        <v>128</v>
      </c>
      <c r="H163" t="s">
        <v>10</v>
      </c>
      <c r="I163">
        <v>0</v>
      </c>
      <c r="J163" t="s">
        <v>511</v>
      </c>
      <c r="K163" s="9">
        <v>0.844</v>
      </c>
      <c r="L163" s="9">
        <v>0.064</v>
      </c>
      <c r="M163" s="9">
        <v>0.107</v>
      </c>
      <c r="N163" t="s">
        <v>14</v>
      </c>
      <c r="O163" s="9">
        <v>0.1</v>
      </c>
      <c r="S163" s="7">
        <v>96.20999999999999</v>
      </c>
      <c r="T163" s="7">
        <v>7.58</v>
      </c>
      <c r="X163" s="10" t="s">
        <v>428</v>
      </c>
      <c r="Y163" s="11" t="s">
        <v>530</v>
      </c>
      <c r="Z163" t="s">
        <v>522</v>
      </c>
    </row>
    <row r="164" spans="1:26">
      <c r="A164">
        <v>291</v>
      </c>
      <c r="B164" t="s">
        <v>517</v>
      </c>
      <c r="C164" t="s">
        <v>518</v>
      </c>
      <c r="D164" t="s">
        <v>519</v>
      </c>
      <c r="E164" t="s">
        <v>477</v>
      </c>
      <c r="F164" t="s">
        <v>517</v>
      </c>
      <c r="G164" t="s">
        <v>133</v>
      </c>
      <c r="H164" t="s">
        <v>10</v>
      </c>
      <c r="I164">
        <v>0</v>
      </c>
      <c r="J164" t="s">
        <v>505</v>
      </c>
      <c r="K164" s="9">
        <v>0.983</v>
      </c>
      <c r="L164" s="9">
        <v>0.175</v>
      </c>
      <c r="M164" s="9">
        <v>0.252</v>
      </c>
      <c r="N164" t="s">
        <v>14</v>
      </c>
      <c r="O164" s="9">
        <v>0.24</v>
      </c>
      <c r="S164" s="7">
        <v>97.15000000000001</v>
      </c>
      <c r="T164" s="7">
        <v>17.8</v>
      </c>
      <c r="X164" s="10" t="s">
        <v>428</v>
      </c>
      <c r="Y164" s="11" t="s">
        <v>531</v>
      </c>
      <c r="Z164" t="s">
        <v>522</v>
      </c>
    </row>
    <row r="165" spans="1:26">
      <c r="A165">
        <v>292</v>
      </c>
      <c r="B165" t="s">
        <v>517</v>
      </c>
      <c r="C165" t="s">
        <v>518</v>
      </c>
      <c r="D165" t="s">
        <v>519</v>
      </c>
      <c r="E165" t="s">
        <v>477</v>
      </c>
      <c r="F165" t="s">
        <v>517</v>
      </c>
      <c r="G165" t="s">
        <v>137</v>
      </c>
      <c r="H165" t="s">
        <v>10</v>
      </c>
      <c r="I165">
        <v>0</v>
      </c>
      <c r="J165" t="s">
        <v>532</v>
      </c>
      <c r="K165" s="9">
        <v>0.928</v>
      </c>
      <c r="L165" s="9">
        <v>0.022</v>
      </c>
      <c r="M165" s="9">
        <v>0.224</v>
      </c>
      <c r="N165" t="s">
        <v>14</v>
      </c>
      <c r="S165" s="7">
        <v>95.58</v>
      </c>
      <c r="T165" s="7">
        <v>2.37</v>
      </c>
      <c r="X165" s="10" t="s">
        <v>483</v>
      </c>
      <c r="Y165" s="11" t="s">
        <v>533</v>
      </c>
      <c r="Z165" t="s">
        <v>522</v>
      </c>
    </row>
    <row r="166" spans="1:26">
      <c r="A166">
        <v>293</v>
      </c>
      <c r="B166" t="s">
        <v>517</v>
      </c>
      <c r="C166" t="s">
        <v>518</v>
      </c>
      <c r="D166" t="s">
        <v>519</v>
      </c>
      <c r="E166" t="s">
        <v>477</v>
      </c>
      <c r="F166" t="s">
        <v>517</v>
      </c>
      <c r="G166" t="s">
        <v>141</v>
      </c>
      <c r="H166" t="s">
        <v>10</v>
      </c>
      <c r="I166">
        <v>0</v>
      </c>
      <c r="J166" t="s">
        <v>251</v>
      </c>
      <c r="K166" s="9">
        <v>1.053</v>
      </c>
      <c r="L166" s="9">
        <v>0.114</v>
      </c>
      <c r="M166" s="9">
        <v>0.13</v>
      </c>
      <c r="N166" t="s">
        <v>14</v>
      </c>
      <c r="O166" s="9">
        <v>0.12</v>
      </c>
      <c r="S166" s="7">
        <v>97.15000000000001</v>
      </c>
      <c r="T166" s="7">
        <v>10.83</v>
      </c>
      <c r="X166" s="10" t="s">
        <v>428</v>
      </c>
      <c r="Y166" s="11" t="s">
        <v>534</v>
      </c>
      <c r="Z166" t="s">
        <v>522</v>
      </c>
    </row>
    <row r="167" spans="1:26">
      <c r="A167">
        <v>294</v>
      </c>
      <c r="B167" t="s">
        <v>517</v>
      </c>
      <c r="C167" t="s">
        <v>518</v>
      </c>
      <c r="D167" t="s">
        <v>519</v>
      </c>
      <c r="E167" t="s">
        <v>477</v>
      </c>
      <c r="F167" t="s">
        <v>517</v>
      </c>
      <c r="G167" t="s">
        <v>146</v>
      </c>
      <c r="H167" t="s">
        <v>10</v>
      </c>
      <c r="I167">
        <v>0</v>
      </c>
      <c r="J167" t="s">
        <v>511</v>
      </c>
      <c r="K167" s="9">
        <v>1.135</v>
      </c>
      <c r="L167" s="9">
        <v>0.163</v>
      </c>
      <c r="M167" s="9">
        <v>0.238</v>
      </c>
      <c r="N167" t="s">
        <v>14</v>
      </c>
      <c r="O167" s="9">
        <v>0.22</v>
      </c>
      <c r="S167" s="7">
        <v>97.44</v>
      </c>
      <c r="T167" s="7">
        <v>14.36</v>
      </c>
      <c r="X167" s="10" t="s">
        <v>428</v>
      </c>
      <c r="Y167" s="11" t="s">
        <v>530</v>
      </c>
      <c r="Z167" t="s">
        <v>522</v>
      </c>
    </row>
    <row r="168" spans="1:26">
      <c r="A168">
        <v>295</v>
      </c>
      <c r="B168" t="s">
        <v>517</v>
      </c>
      <c r="C168" t="s">
        <v>518</v>
      </c>
      <c r="D168" t="s">
        <v>519</v>
      </c>
      <c r="E168" t="s">
        <v>477</v>
      </c>
      <c r="F168" t="s">
        <v>517</v>
      </c>
      <c r="G168" t="s">
        <v>472</v>
      </c>
      <c r="H168" t="s">
        <v>10</v>
      </c>
      <c r="I168">
        <v>0</v>
      </c>
      <c r="J168" t="s">
        <v>505</v>
      </c>
      <c r="K168" s="9">
        <v>1.242</v>
      </c>
      <c r="L168" s="9">
        <v>0.185</v>
      </c>
      <c r="M168" s="9">
        <v>0.223</v>
      </c>
      <c r="N168" t="s">
        <v>14</v>
      </c>
      <c r="O168" s="9">
        <v>0.21</v>
      </c>
      <c r="S168" s="7">
        <v>97.58</v>
      </c>
      <c r="T168" s="7">
        <v>14.9</v>
      </c>
      <c r="X168" s="10" t="s">
        <v>428</v>
      </c>
      <c r="Y168" s="11" t="s">
        <v>531</v>
      </c>
      <c r="Z168" t="s">
        <v>522</v>
      </c>
    </row>
    <row r="169" spans="1:26">
      <c r="A169">
        <v>296</v>
      </c>
      <c r="B169" t="s">
        <v>517</v>
      </c>
      <c r="C169" t="s">
        <v>518</v>
      </c>
      <c r="D169" t="s">
        <v>519</v>
      </c>
      <c r="E169" t="s">
        <v>477</v>
      </c>
      <c r="F169" t="s">
        <v>517</v>
      </c>
      <c r="G169" t="s">
        <v>475</v>
      </c>
      <c r="H169" t="s">
        <v>10</v>
      </c>
      <c r="I169">
        <v>0</v>
      </c>
      <c r="J169" t="s">
        <v>532</v>
      </c>
      <c r="K169" s="9">
        <v>1.241</v>
      </c>
      <c r="L169" s="9">
        <v>0.41</v>
      </c>
      <c r="M169" s="9">
        <v>0.21</v>
      </c>
      <c r="N169" t="s">
        <v>14</v>
      </c>
      <c r="S169" s="7">
        <v>97.73999999999999</v>
      </c>
      <c r="T169" s="7">
        <v>33.04</v>
      </c>
      <c r="X169" s="10" t="s">
        <v>483</v>
      </c>
      <c r="Y169" s="11" t="s">
        <v>533</v>
      </c>
      <c r="Z169" t="s">
        <v>522</v>
      </c>
    </row>
    <row r="170" spans="1:26">
      <c r="A170">
        <v>297</v>
      </c>
      <c r="B170" t="s">
        <v>517</v>
      </c>
      <c r="C170" t="s">
        <v>518</v>
      </c>
      <c r="D170" t="s">
        <v>519</v>
      </c>
      <c r="E170" t="s">
        <v>477</v>
      </c>
      <c r="F170" t="s">
        <v>517</v>
      </c>
      <c r="G170" t="s">
        <v>150</v>
      </c>
      <c r="H170" t="s">
        <v>10</v>
      </c>
      <c r="I170">
        <v>0</v>
      </c>
      <c r="J170" t="s">
        <v>251</v>
      </c>
      <c r="K170" s="9">
        <v>1.289</v>
      </c>
      <c r="L170" s="9">
        <v>0.091</v>
      </c>
      <c r="M170" s="9">
        <v>0.27</v>
      </c>
      <c r="N170" t="s">
        <v>14</v>
      </c>
      <c r="O170" s="9">
        <v>0.25</v>
      </c>
      <c r="S170" s="7">
        <v>97.20999999999999</v>
      </c>
      <c r="T170" s="7">
        <v>7.06</v>
      </c>
      <c r="X170" s="10" t="s">
        <v>428</v>
      </c>
      <c r="Y170" s="11" t="s">
        <v>534</v>
      </c>
      <c r="Z170" t="s">
        <v>522</v>
      </c>
    </row>
    <row r="171" spans="1:26">
      <c r="A171">
        <v>463</v>
      </c>
      <c r="B171" t="s">
        <v>535</v>
      </c>
      <c r="C171" t="s">
        <v>536</v>
      </c>
      <c r="D171" t="s">
        <v>537</v>
      </c>
      <c r="E171" t="s">
        <v>477</v>
      </c>
      <c r="F171" t="s">
        <v>538</v>
      </c>
      <c r="G171" t="s">
        <v>50</v>
      </c>
      <c r="H171" t="s">
        <v>10</v>
      </c>
      <c r="I171">
        <v>0</v>
      </c>
      <c r="J171" t="s">
        <v>539</v>
      </c>
      <c r="K171" s="9">
        <v>5.858</v>
      </c>
      <c r="L171" s="9">
        <v>0.714</v>
      </c>
      <c r="M171" s="9">
        <v>0.385</v>
      </c>
      <c r="N171" t="s">
        <v>14</v>
      </c>
      <c r="O171" s="9">
        <v>0.74</v>
      </c>
      <c r="S171" s="7">
        <v>55.72</v>
      </c>
      <c r="T171" s="7">
        <v>12.19</v>
      </c>
      <c r="X171" s="10" t="s">
        <v>428</v>
      </c>
      <c r="Y171" s="11" t="s">
        <v>540</v>
      </c>
      <c r="Z171" t="s">
        <v>430</v>
      </c>
    </row>
    <row r="172" spans="1:26">
      <c r="A172">
        <v>464</v>
      </c>
      <c r="B172" t="s">
        <v>535</v>
      </c>
      <c r="C172" t="s">
        <v>536</v>
      </c>
      <c r="D172" t="s">
        <v>537</v>
      </c>
      <c r="E172" t="s">
        <v>477</v>
      </c>
      <c r="F172" t="s">
        <v>538</v>
      </c>
      <c r="G172" t="s">
        <v>57</v>
      </c>
      <c r="H172" t="s">
        <v>10</v>
      </c>
      <c r="I172">
        <v>0</v>
      </c>
      <c r="J172" t="s">
        <v>541</v>
      </c>
      <c r="K172" s="9">
        <v>5.742</v>
      </c>
      <c r="L172" s="9">
        <v>0.766</v>
      </c>
      <c r="M172" s="9">
        <v>0.5629999999999999</v>
      </c>
      <c r="N172" t="s">
        <v>14</v>
      </c>
      <c r="O172" s="9">
        <v>1.17</v>
      </c>
      <c r="S172" s="7">
        <v>55.54</v>
      </c>
      <c r="T172" s="7">
        <v>13.34</v>
      </c>
      <c r="X172" s="10" t="s">
        <v>428</v>
      </c>
      <c r="Y172" s="11" t="s">
        <v>542</v>
      </c>
      <c r="Z172" t="s">
        <v>430</v>
      </c>
    </row>
    <row r="173" spans="1:26">
      <c r="A173">
        <v>465</v>
      </c>
      <c r="B173" t="s">
        <v>535</v>
      </c>
      <c r="C173" t="s">
        <v>536</v>
      </c>
      <c r="D173" t="s">
        <v>537</v>
      </c>
      <c r="E173" t="s">
        <v>477</v>
      </c>
      <c r="F173" t="s">
        <v>538</v>
      </c>
      <c r="G173" t="s">
        <v>62</v>
      </c>
      <c r="H173" t="s">
        <v>10</v>
      </c>
      <c r="I173">
        <v>0</v>
      </c>
      <c r="J173" t="s">
        <v>543</v>
      </c>
      <c r="K173" s="9">
        <v>5.821</v>
      </c>
      <c r="L173" s="9">
        <v>1.008</v>
      </c>
      <c r="M173" s="9">
        <v>0.6879999999999999</v>
      </c>
      <c r="N173" t="s">
        <v>14</v>
      </c>
      <c r="O173" s="9">
        <v>1.45</v>
      </c>
      <c r="S173" s="7">
        <v>56.97</v>
      </c>
      <c r="T173" s="7">
        <v>17.32</v>
      </c>
      <c r="X173" s="10" t="s">
        <v>428</v>
      </c>
      <c r="Y173" s="11" t="s">
        <v>544</v>
      </c>
      <c r="Z173" t="s">
        <v>430</v>
      </c>
    </row>
    <row r="174" spans="1:26">
      <c r="A174">
        <v>466</v>
      </c>
      <c r="B174" t="s">
        <v>535</v>
      </c>
      <c r="C174" t="s">
        <v>536</v>
      </c>
      <c r="D174" t="s">
        <v>537</v>
      </c>
      <c r="E174" t="s">
        <v>477</v>
      </c>
      <c r="F174" t="s">
        <v>538</v>
      </c>
      <c r="G174" t="s">
        <v>66</v>
      </c>
      <c r="H174" t="s">
        <v>10</v>
      </c>
      <c r="I174">
        <v>0</v>
      </c>
      <c r="J174" t="s">
        <v>545</v>
      </c>
      <c r="K174" s="9">
        <v>6.467</v>
      </c>
      <c r="L174" s="9">
        <v>1.526</v>
      </c>
      <c r="M174" s="9">
        <v>1.324</v>
      </c>
      <c r="N174" t="s">
        <v>14</v>
      </c>
      <c r="S174" s="7">
        <v>57.94</v>
      </c>
      <c r="T174" s="7">
        <v>23.6</v>
      </c>
      <c r="X174" s="10" t="s">
        <v>483</v>
      </c>
      <c r="Y174" s="11" t="s">
        <v>546</v>
      </c>
      <c r="Z174" t="s">
        <v>430</v>
      </c>
    </row>
    <row r="175" spans="1:26">
      <c r="A175">
        <v>467</v>
      </c>
      <c r="B175" t="s">
        <v>535</v>
      </c>
      <c r="C175" t="s">
        <v>536</v>
      </c>
      <c r="D175" t="s">
        <v>537</v>
      </c>
      <c r="E175" t="s">
        <v>477</v>
      </c>
      <c r="F175" t="s">
        <v>538</v>
      </c>
      <c r="G175" t="s">
        <v>71</v>
      </c>
      <c r="H175" t="s">
        <v>10</v>
      </c>
      <c r="I175">
        <v>0</v>
      </c>
      <c r="J175" t="s">
        <v>547</v>
      </c>
      <c r="K175" s="9">
        <v>6.655</v>
      </c>
      <c r="L175" s="9">
        <v>1.837</v>
      </c>
      <c r="M175" s="9">
        <v>1.378</v>
      </c>
      <c r="N175" t="s">
        <v>14</v>
      </c>
      <c r="O175" s="9">
        <v>3.05</v>
      </c>
      <c r="S175" s="7">
        <v>59.38</v>
      </c>
      <c r="T175" s="7">
        <v>27.6</v>
      </c>
      <c r="X175" s="10" t="s">
        <v>428</v>
      </c>
      <c r="Y175" s="11" t="s">
        <v>548</v>
      </c>
      <c r="Z175" t="s">
        <v>430</v>
      </c>
    </row>
    <row r="176" spans="1:26">
      <c r="A176">
        <v>468</v>
      </c>
      <c r="B176" t="s">
        <v>535</v>
      </c>
      <c r="C176" t="s">
        <v>536</v>
      </c>
      <c r="D176" t="s">
        <v>537</v>
      </c>
      <c r="E176" t="s">
        <v>477</v>
      </c>
      <c r="F176" t="s">
        <v>538</v>
      </c>
      <c r="G176" t="s">
        <v>75</v>
      </c>
      <c r="H176" t="s">
        <v>10</v>
      </c>
      <c r="I176">
        <v>0</v>
      </c>
      <c r="J176" t="s">
        <v>549</v>
      </c>
      <c r="K176" s="9">
        <v>6.61</v>
      </c>
      <c r="L176" s="9">
        <v>1.975</v>
      </c>
      <c r="M176" s="9">
        <v>1.493</v>
      </c>
      <c r="N176" t="s">
        <v>14</v>
      </c>
      <c r="O176" s="9">
        <v>3.3</v>
      </c>
      <c r="S176" s="7">
        <v>61.38</v>
      </c>
      <c r="T176" s="7">
        <v>29.88</v>
      </c>
      <c r="X176" s="10" t="s">
        <v>428</v>
      </c>
      <c r="Y176" s="11" t="s">
        <v>550</v>
      </c>
      <c r="Z176" t="s">
        <v>430</v>
      </c>
    </row>
    <row r="177" spans="1:26">
      <c r="A177">
        <v>469</v>
      </c>
      <c r="B177" t="s">
        <v>535</v>
      </c>
      <c r="C177" t="s">
        <v>536</v>
      </c>
      <c r="D177" t="s">
        <v>537</v>
      </c>
      <c r="E177" t="s">
        <v>477</v>
      </c>
      <c r="F177" t="s">
        <v>538</v>
      </c>
      <c r="G177" t="s">
        <v>80</v>
      </c>
      <c r="H177" t="s">
        <v>10</v>
      </c>
      <c r="I177">
        <v>0</v>
      </c>
      <c r="J177" t="s">
        <v>551</v>
      </c>
      <c r="K177" s="9">
        <v>6.778</v>
      </c>
      <c r="L177" s="9">
        <v>2.126</v>
      </c>
      <c r="M177" s="9">
        <v>1.876</v>
      </c>
      <c r="N177" t="s">
        <v>14</v>
      </c>
      <c r="O177" s="9">
        <v>4.2</v>
      </c>
      <c r="S177" s="7">
        <v>61.92</v>
      </c>
      <c r="T177" s="7">
        <v>31.37</v>
      </c>
      <c r="X177" s="10" t="s">
        <v>428</v>
      </c>
      <c r="Y177" s="11" t="s">
        <v>552</v>
      </c>
      <c r="Z177" t="s">
        <v>430</v>
      </c>
    </row>
    <row r="178" spans="1:26">
      <c r="A178">
        <v>470</v>
      </c>
      <c r="B178" t="s">
        <v>535</v>
      </c>
      <c r="C178" t="s">
        <v>536</v>
      </c>
      <c r="D178" t="s">
        <v>537</v>
      </c>
      <c r="E178" t="s">
        <v>477</v>
      </c>
      <c r="F178" t="s">
        <v>538</v>
      </c>
      <c r="G178" t="s">
        <v>85</v>
      </c>
      <c r="H178" t="s">
        <v>10</v>
      </c>
      <c r="I178">
        <v>0</v>
      </c>
      <c r="J178" t="s">
        <v>553</v>
      </c>
      <c r="K178" s="9">
        <v>7.407</v>
      </c>
      <c r="L178" s="9">
        <v>2.581</v>
      </c>
      <c r="M178" s="9">
        <v>1.989</v>
      </c>
      <c r="N178" t="s">
        <v>14</v>
      </c>
      <c r="S178" s="7">
        <v>62.62</v>
      </c>
      <c r="T178" s="7">
        <v>34.85</v>
      </c>
      <c r="X178" s="10" t="s">
        <v>483</v>
      </c>
      <c r="Y178" s="11" t="s">
        <v>554</v>
      </c>
      <c r="Z178" t="s">
        <v>430</v>
      </c>
    </row>
    <row r="179" spans="1:26">
      <c r="A179">
        <v>471</v>
      </c>
      <c r="B179" t="s">
        <v>535</v>
      </c>
      <c r="C179" t="s">
        <v>536</v>
      </c>
      <c r="D179" t="s">
        <v>537</v>
      </c>
      <c r="E179" t="s">
        <v>477</v>
      </c>
      <c r="F179" t="s">
        <v>538</v>
      </c>
      <c r="G179" t="s">
        <v>89</v>
      </c>
      <c r="H179" t="s">
        <v>10</v>
      </c>
      <c r="I179">
        <v>0</v>
      </c>
      <c r="J179" t="s">
        <v>555</v>
      </c>
      <c r="K179" s="9">
        <v>7.706</v>
      </c>
      <c r="L179" s="9">
        <v>3.108</v>
      </c>
      <c r="M179" s="9">
        <v>2.472</v>
      </c>
      <c r="N179" t="s">
        <v>14</v>
      </c>
      <c r="O179" s="9">
        <v>5.59</v>
      </c>
      <c r="S179" s="7">
        <v>65.52</v>
      </c>
      <c r="T179" s="7">
        <v>40.33</v>
      </c>
      <c r="X179" s="10" t="s">
        <v>428</v>
      </c>
      <c r="Y179" s="11" t="s">
        <v>556</v>
      </c>
      <c r="Z179" t="s">
        <v>430</v>
      </c>
    </row>
    <row r="180" spans="1:26">
      <c r="A180">
        <v>472</v>
      </c>
      <c r="B180" t="s">
        <v>535</v>
      </c>
      <c r="C180" t="s">
        <v>536</v>
      </c>
      <c r="D180" t="s">
        <v>537</v>
      </c>
      <c r="E180" t="s">
        <v>477</v>
      </c>
      <c r="F180" t="s">
        <v>538</v>
      </c>
      <c r="G180" t="s">
        <v>93</v>
      </c>
      <c r="H180" t="s">
        <v>10</v>
      </c>
      <c r="I180">
        <v>0</v>
      </c>
      <c r="J180" t="s">
        <v>557</v>
      </c>
      <c r="K180" s="9">
        <v>8.103</v>
      </c>
      <c r="L180" s="9">
        <v>3.394</v>
      </c>
      <c r="M180" s="9">
        <v>2.59</v>
      </c>
      <c r="N180" t="s">
        <v>14</v>
      </c>
      <c r="O180" s="9">
        <v>5.93</v>
      </c>
      <c r="S180" s="7">
        <v>67.12</v>
      </c>
      <c r="T180" s="7">
        <v>41.89</v>
      </c>
      <c r="X180" s="10" t="s">
        <v>428</v>
      </c>
      <c r="Y180" s="11" t="s">
        <v>558</v>
      </c>
      <c r="Z180" t="s">
        <v>430</v>
      </c>
    </row>
    <row r="181" spans="1:26">
      <c r="A181">
        <v>473</v>
      </c>
      <c r="B181" t="s">
        <v>535</v>
      </c>
      <c r="C181" t="s">
        <v>536</v>
      </c>
      <c r="D181" t="s">
        <v>537</v>
      </c>
      <c r="E181" t="s">
        <v>477</v>
      </c>
      <c r="F181" t="s">
        <v>538</v>
      </c>
      <c r="G181" t="s">
        <v>98</v>
      </c>
      <c r="H181" t="s">
        <v>10</v>
      </c>
      <c r="I181">
        <v>0</v>
      </c>
      <c r="J181" t="s">
        <v>559</v>
      </c>
      <c r="K181" s="9">
        <v>8.464</v>
      </c>
      <c r="L181" s="9">
        <v>3.737</v>
      </c>
      <c r="M181" s="9">
        <v>3.074</v>
      </c>
      <c r="N181" t="s">
        <v>14</v>
      </c>
      <c r="O181" s="9">
        <v>7.15</v>
      </c>
      <c r="S181" s="7">
        <v>67.12</v>
      </c>
      <c r="T181" s="7">
        <v>44.15</v>
      </c>
      <c r="X181" s="10" t="s">
        <v>428</v>
      </c>
      <c r="Y181" s="11" t="s">
        <v>560</v>
      </c>
      <c r="Z181" t="s">
        <v>430</v>
      </c>
    </row>
    <row r="182" spans="1:26">
      <c r="A182">
        <v>474</v>
      </c>
      <c r="B182" t="s">
        <v>535</v>
      </c>
      <c r="C182" t="s">
        <v>536</v>
      </c>
      <c r="D182" t="s">
        <v>537</v>
      </c>
      <c r="E182" t="s">
        <v>477</v>
      </c>
      <c r="F182" t="s">
        <v>538</v>
      </c>
      <c r="G182" t="s">
        <v>103</v>
      </c>
      <c r="H182" t="s">
        <v>10</v>
      </c>
      <c r="I182">
        <v>0</v>
      </c>
      <c r="J182" t="s">
        <v>561</v>
      </c>
      <c r="K182" s="9">
        <v>8.93</v>
      </c>
      <c r="L182" s="9">
        <v>3.986</v>
      </c>
      <c r="M182" s="9">
        <v>3.359</v>
      </c>
      <c r="N182" t="s">
        <v>14</v>
      </c>
      <c r="S182" s="7">
        <v>66.36</v>
      </c>
      <c r="T182" s="7">
        <v>44.64</v>
      </c>
      <c r="X182" s="10" t="s">
        <v>483</v>
      </c>
      <c r="Y182" s="11" t="s">
        <v>562</v>
      </c>
      <c r="Z182" t="s">
        <v>430</v>
      </c>
    </row>
    <row r="183" spans="1:26">
      <c r="A183">
        <v>475</v>
      </c>
      <c r="B183" t="s">
        <v>535</v>
      </c>
      <c r="C183" t="s">
        <v>536</v>
      </c>
      <c r="D183" t="s">
        <v>537</v>
      </c>
      <c r="E183" t="s">
        <v>477</v>
      </c>
      <c r="F183" t="s">
        <v>538</v>
      </c>
      <c r="G183" t="s">
        <v>107</v>
      </c>
      <c r="H183" t="s">
        <v>10</v>
      </c>
      <c r="I183">
        <v>0</v>
      </c>
      <c r="J183" t="s">
        <v>563</v>
      </c>
      <c r="K183" s="9">
        <v>8.914999999999999</v>
      </c>
      <c r="L183" s="9">
        <v>4.103</v>
      </c>
      <c r="M183" s="9">
        <v>3.774</v>
      </c>
      <c r="N183" t="s">
        <v>14</v>
      </c>
      <c r="O183" s="9">
        <v>8.800000000000001</v>
      </c>
      <c r="S183" s="7">
        <v>67.34999999999999</v>
      </c>
      <c r="T183" s="7">
        <v>46.02</v>
      </c>
      <c r="X183" s="10" t="s">
        <v>428</v>
      </c>
      <c r="Y183" s="11" t="s">
        <v>564</v>
      </c>
      <c r="Z183" t="s">
        <v>430</v>
      </c>
    </row>
    <row r="184" spans="1:26">
      <c r="A184">
        <v>476</v>
      </c>
      <c r="B184" t="s">
        <v>535</v>
      </c>
      <c r="C184" t="s">
        <v>536</v>
      </c>
      <c r="D184" t="s">
        <v>537</v>
      </c>
      <c r="E184" t="s">
        <v>477</v>
      </c>
      <c r="F184" t="s">
        <v>538</v>
      </c>
      <c r="G184" t="s">
        <v>112</v>
      </c>
      <c r="H184" t="s">
        <v>10</v>
      </c>
      <c r="I184">
        <v>0</v>
      </c>
      <c r="J184" t="s">
        <v>565</v>
      </c>
      <c r="K184" s="9">
        <v>8.733000000000001</v>
      </c>
      <c r="L184" s="9">
        <v>4.008</v>
      </c>
      <c r="M184" s="9">
        <v>3.481</v>
      </c>
      <c r="N184" t="s">
        <v>14</v>
      </c>
      <c r="O184" s="9">
        <v>8.15</v>
      </c>
      <c r="S184" s="7">
        <v>70.02</v>
      </c>
      <c r="T184" s="7">
        <v>45.89</v>
      </c>
      <c r="X184" s="10" t="s">
        <v>428</v>
      </c>
      <c r="Y184" s="11" t="s">
        <v>566</v>
      </c>
      <c r="Z184" t="s">
        <v>430</v>
      </c>
    </row>
    <row r="185" spans="1:26">
      <c r="A185">
        <v>477</v>
      </c>
      <c r="B185" t="s">
        <v>535</v>
      </c>
      <c r="C185" t="s">
        <v>536</v>
      </c>
      <c r="D185" t="s">
        <v>537</v>
      </c>
      <c r="E185" t="s">
        <v>477</v>
      </c>
      <c r="F185" t="s">
        <v>538</v>
      </c>
      <c r="G185" t="s">
        <v>116</v>
      </c>
      <c r="H185" t="s">
        <v>10</v>
      </c>
      <c r="I185">
        <v>0</v>
      </c>
      <c r="J185" t="s">
        <v>567</v>
      </c>
      <c r="K185" s="9">
        <v>8.875999999999999</v>
      </c>
      <c r="L185" s="9">
        <v>3.856</v>
      </c>
      <c r="M185" s="9">
        <v>3.303</v>
      </c>
      <c r="N185" t="s">
        <v>14</v>
      </c>
      <c r="O185" s="9">
        <v>0.77</v>
      </c>
      <c r="S185" s="7">
        <v>69.45</v>
      </c>
      <c r="T185" s="7">
        <v>43.44</v>
      </c>
      <c r="X185" s="10" t="s">
        <v>428</v>
      </c>
      <c r="Y185" s="11" t="s">
        <v>568</v>
      </c>
      <c r="Z185" t="s">
        <v>430</v>
      </c>
    </row>
    <row r="186" spans="1:26">
      <c r="A186">
        <v>478</v>
      </c>
      <c r="B186" t="s">
        <v>535</v>
      </c>
      <c r="C186" t="s">
        <v>536</v>
      </c>
      <c r="D186" t="s">
        <v>537</v>
      </c>
      <c r="E186" t="s">
        <v>477</v>
      </c>
      <c r="F186" t="s">
        <v>538</v>
      </c>
      <c r="G186" t="s">
        <v>120</v>
      </c>
      <c r="H186" t="s">
        <v>10</v>
      </c>
      <c r="I186">
        <v>0</v>
      </c>
      <c r="J186" t="s">
        <v>569</v>
      </c>
      <c r="K186" s="9">
        <v>9.295</v>
      </c>
      <c r="L186" s="9">
        <v>4.24</v>
      </c>
      <c r="M186" s="9">
        <v>3.524</v>
      </c>
      <c r="N186" t="s">
        <v>14</v>
      </c>
      <c r="S186" s="7">
        <v>68.93000000000001</v>
      </c>
      <c r="T186" s="7">
        <v>45.62</v>
      </c>
      <c r="X186" s="10" t="s">
        <v>483</v>
      </c>
      <c r="Y186" s="11" t="s">
        <v>570</v>
      </c>
      <c r="Z186" t="s">
        <v>430</v>
      </c>
    </row>
    <row r="187" spans="1:26">
      <c r="A187">
        <v>479</v>
      </c>
      <c r="B187" t="s">
        <v>535</v>
      </c>
      <c r="C187" t="s">
        <v>536</v>
      </c>
      <c r="D187" t="s">
        <v>537</v>
      </c>
      <c r="E187" t="s">
        <v>477</v>
      </c>
      <c r="F187" t="s">
        <v>538</v>
      </c>
      <c r="G187" t="s">
        <v>124</v>
      </c>
      <c r="H187" t="s">
        <v>10</v>
      </c>
      <c r="I187">
        <v>0</v>
      </c>
      <c r="J187" t="s">
        <v>571</v>
      </c>
      <c r="K187" s="9">
        <v>11.961</v>
      </c>
      <c r="L187" s="9">
        <v>2.083</v>
      </c>
      <c r="M187" s="9">
        <v>1.325</v>
      </c>
      <c r="N187" t="s">
        <v>14</v>
      </c>
      <c r="O187" s="9">
        <v>0.28</v>
      </c>
      <c r="S187" s="7">
        <v>61.66</v>
      </c>
      <c r="T187" s="7">
        <v>17.41</v>
      </c>
      <c r="X187" s="10" t="s">
        <v>428</v>
      </c>
      <c r="Y187" s="11" t="s">
        <v>572</v>
      </c>
      <c r="Z187" t="s">
        <v>430</v>
      </c>
    </row>
    <row r="188" spans="1:26">
      <c r="A188">
        <v>480</v>
      </c>
      <c r="B188" t="s">
        <v>535</v>
      </c>
      <c r="C188" t="s">
        <v>536</v>
      </c>
      <c r="D188" t="s">
        <v>537</v>
      </c>
      <c r="E188" t="s">
        <v>477</v>
      </c>
      <c r="F188" t="s">
        <v>538</v>
      </c>
      <c r="G188" t="s">
        <v>128</v>
      </c>
      <c r="H188" t="s">
        <v>10</v>
      </c>
      <c r="I188">
        <v>0</v>
      </c>
      <c r="J188" t="s">
        <v>573</v>
      </c>
      <c r="K188" s="9">
        <v>12.487</v>
      </c>
      <c r="L188" s="9">
        <v>2.965</v>
      </c>
      <c r="M188" s="9">
        <v>2.121</v>
      </c>
      <c r="N188" t="s">
        <v>14</v>
      </c>
      <c r="O188" s="9">
        <v>0.44</v>
      </c>
      <c r="S188" s="7">
        <v>62.27</v>
      </c>
      <c r="T188" s="7">
        <v>23.74</v>
      </c>
      <c r="X188" s="10" t="s">
        <v>428</v>
      </c>
      <c r="Y188" s="11" t="s">
        <v>574</v>
      </c>
      <c r="Z188" t="s">
        <v>430</v>
      </c>
    </row>
    <row r="189" spans="1:26">
      <c r="A189">
        <v>481</v>
      </c>
      <c r="B189" t="s">
        <v>535</v>
      </c>
      <c r="C189" t="s">
        <v>536</v>
      </c>
      <c r="D189" t="s">
        <v>537</v>
      </c>
      <c r="E189" t="s">
        <v>477</v>
      </c>
      <c r="F189" t="s">
        <v>538</v>
      </c>
      <c r="G189" t="s">
        <v>133</v>
      </c>
      <c r="H189" t="s">
        <v>10</v>
      </c>
      <c r="I189">
        <v>0</v>
      </c>
      <c r="J189" t="s">
        <v>462</v>
      </c>
      <c r="K189" s="9">
        <v>13.072</v>
      </c>
      <c r="L189" s="9">
        <v>3.788</v>
      </c>
      <c r="M189" s="9">
        <v>-1.875</v>
      </c>
      <c r="N189" t="s">
        <v>14</v>
      </c>
      <c r="O189" s="9">
        <v>-0.4</v>
      </c>
      <c r="S189" s="7">
        <v>63.92</v>
      </c>
      <c r="T189" s="7">
        <v>28.98</v>
      </c>
      <c r="X189" s="10" t="s">
        <v>428</v>
      </c>
      <c r="Y189" s="11" t="s">
        <v>575</v>
      </c>
      <c r="Z189" t="s">
        <v>430</v>
      </c>
    </row>
    <row r="190" spans="1:26">
      <c r="A190">
        <v>482</v>
      </c>
      <c r="B190" t="s">
        <v>535</v>
      </c>
      <c r="C190" t="s">
        <v>536</v>
      </c>
      <c r="D190" t="s">
        <v>537</v>
      </c>
      <c r="E190" t="s">
        <v>477</v>
      </c>
      <c r="F190" t="s">
        <v>538</v>
      </c>
      <c r="G190" t="s">
        <v>137</v>
      </c>
      <c r="H190" t="s">
        <v>10</v>
      </c>
      <c r="I190">
        <v>0</v>
      </c>
      <c r="J190" t="s">
        <v>569</v>
      </c>
      <c r="K190" s="9">
        <v>14.054</v>
      </c>
      <c r="L190" s="9">
        <v>4.627</v>
      </c>
      <c r="M190" s="9">
        <v>4.324</v>
      </c>
      <c r="N190" t="s">
        <v>14</v>
      </c>
      <c r="S190" s="7">
        <v>64.05</v>
      </c>
      <c r="T190" s="7">
        <v>32.92</v>
      </c>
      <c r="X190" s="10" t="s">
        <v>483</v>
      </c>
      <c r="Y190" s="11" t="s">
        <v>570</v>
      </c>
      <c r="Z190" t="s">
        <v>430</v>
      </c>
    </row>
    <row r="191" spans="1:26">
      <c r="A191">
        <v>483</v>
      </c>
      <c r="B191" t="s">
        <v>535</v>
      </c>
      <c r="C191" t="s">
        <v>536</v>
      </c>
      <c r="D191" t="s">
        <v>537</v>
      </c>
      <c r="E191" t="s">
        <v>477</v>
      </c>
      <c r="F191" t="s">
        <v>538</v>
      </c>
      <c r="G191" t="s">
        <v>141</v>
      </c>
      <c r="H191" t="s">
        <v>10</v>
      </c>
      <c r="I191">
        <v>0</v>
      </c>
      <c r="J191" t="s">
        <v>473</v>
      </c>
      <c r="K191" s="9">
        <v>14.916</v>
      </c>
      <c r="L191" s="9">
        <v>6.26</v>
      </c>
      <c r="M191" s="9">
        <v>5.503</v>
      </c>
      <c r="N191" t="s">
        <v>14</v>
      </c>
      <c r="O191" s="9">
        <v>1.14</v>
      </c>
      <c r="S191" s="7">
        <v>68.01000000000001</v>
      </c>
      <c r="T191" s="7">
        <v>41.97</v>
      </c>
      <c r="X191" s="10" t="s">
        <v>428</v>
      </c>
      <c r="Y191" s="11" t="s">
        <v>576</v>
      </c>
      <c r="Z191" t="s">
        <v>430</v>
      </c>
    </row>
    <row r="192" spans="1:26">
      <c r="A192">
        <v>484</v>
      </c>
      <c r="B192" t="s">
        <v>535</v>
      </c>
      <c r="C192" t="s">
        <v>536</v>
      </c>
      <c r="D192" t="s">
        <v>537</v>
      </c>
      <c r="E192" t="s">
        <v>477</v>
      </c>
      <c r="F192" t="s">
        <v>538</v>
      </c>
      <c r="G192" t="s">
        <v>146</v>
      </c>
      <c r="H192" t="s">
        <v>10</v>
      </c>
      <c r="I192">
        <v>0</v>
      </c>
      <c r="J192" t="s">
        <v>577</v>
      </c>
      <c r="K192" s="9">
        <v>15.004</v>
      </c>
      <c r="L192" s="9">
        <v>5.829</v>
      </c>
      <c r="M192" s="9">
        <v>4.965</v>
      </c>
      <c r="N192" t="s">
        <v>14</v>
      </c>
      <c r="O192" s="9">
        <v>1.03</v>
      </c>
      <c r="S192" s="7">
        <v>67.95999999999999</v>
      </c>
      <c r="T192" s="7">
        <v>38.85</v>
      </c>
      <c r="X192" s="10" t="s">
        <v>428</v>
      </c>
      <c r="Y192" s="11" t="s">
        <v>578</v>
      </c>
      <c r="Z192" t="s">
        <v>430</v>
      </c>
    </row>
    <row r="193" spans="1:26">
      <c r="A193">
        <v>485</v>
      </c>
      <c r="B193" t="s">
        <v>535</v>
      </c>
      <c r="C193" t="s">
        <v>536</v>
      </c>
      <c r="D193" t="s">
        <v>537</v>
      </c>
      <c r="E193" t="s">
        <v>477</v>
      </c>
      <c r="F193" t="s">
        <v>538</v>
      </c>
      <c r="G193" t="s">
        <v>472</v>
      </c>
      <c r="H193" t="s">
        <v>10</v>
      </c>
      <c r="I193">
        <v>0</v>
      </c>
      <c r="J193" t="s">
        <v>579</v>
      </c>
      <c r="K193" s="9">
        <v>15.952</v>
      </c>
      <c r="L193" s="9">
        <v>5.887</v>
      </c>
      <c r="M193" s="9">
        <v>4.14</v>
      </c>
      <c r="N193" t="s">
        <v>14</v>
      </c>
      <c r="O193" s="9">
        <v>0.85</v>
      </c>
      <c r="S193" s="7">
        <v>67.09999999999999</v>
      </c>
      <c r="T193" s="7">
        <v>36.9</v>
      </c>
      <c r="X193" s="10" t="s">
        <v>428</v>
      </c>
      <c r="Y193" s="11" t="s">
        <v>580</v>
      </c>
      <c r="Z193" t="s">
        <v>430</v>
      </c>
    </row>
    <row r="194" spans="1:26">
      <c r="A194">
        <v>486</v>
      </c>
      <c r="B194" t="s">
        <v>535</v>
      </c>
      <c r="C194" t="s">
        <v>536</v>
      </c>
      <c r="D194" t="s">
        <v>537</v>
      </c>
      <c r="E194" t="s">
        <v>477</v>
      </c>
      <c r="F194" t="s">
        <v>538</v>
      </c>
      <c r="G194" t="s">
        <v>475</v>
      </c>
      <c r="H194" t="s">
        <v>10</v>
      </c>
      <c r="I194">
        <v>0</v>
      </c>
      <c r="J194" t="s">
        <v>569</v>
      </c>
      <c r="K194" s="9">
        <v>18.015</v>
      </c>
      <c r="L194" s="9">
        <v>7.508</v>
      </c>
      <c r="M194" s="9">
        <v>8.518000000000001</v>
      </c>
      <c r="N194" t="s">
        <v>14</v>
      </c>
      <c r="S194" s="7">
        <v>67.98999999999999</v>
      </c>
      <c r="T194" s="7">
        <v>41.68</v>
      </c>
      <c r="X194" s="10" t="s">
        <v>483</v>
      </c>
      <c r="Y194" s="11" t="s">
        <v>570</v>
      </c>
      <c r="Z194" t="s">
        <v>430</v>
      </c>
    </row>
    <row r="195" spans="1:26">
      <c r="A195">
        <v>487</v>
      </c>
      <c r="B195" t="s">
        <v>535</v>
      </c>
      <c r="C195" t="s">
        <v>536</v>
      </c>
      <c r="D195" t="s">
        <v>537</v>
      </c>
      <c r="E195" t="s">
        <v>477</v>
      </c>
      <c r="F195" t="s">
        <v>538</v>
      </c>
      <c r="G195" t="s">
        <v>150</v>
      </c>
      <c r="H195" t="s">
        <v>10</v>
      </c>
      <c r="I195">
        <v>0</v>
      </c>
      <c r="J195" t="s">
        <v>473</v>
      </c>
      <c r="K195" s="9">
        <v>19.311</v>
      </c>
      <c r="L195" s="9">
        <v>8.563000000000001</v>
      </c>
      <c r="M195" s="9">
        <v>7.349</v>
      </c>
      <c r="N195" t="s">
        <v>14</v>
      </c>
      <c r="O195" s="9">
        <v>1.5</v>
      </c>
      <c r="S195" s="7">
        <v>68.13</v>
      </c>
      <c r="T195" s="7">
        <v>44.34</v>
      </c>
      <c r="X195" s="10" t="s">
        <v>428</v>
      </c>
      <c r="Y195" s="11" t="s">
        <v>576</v>
      </c>
      <c r="Z195" t="s">
        <v>430</v>
      </c>
    </row>
    <row r="196" spans="1:26">
      <c r="A196">
        <v>488</v>
      </c>
      <c r="B196" t="s">
        <v>535</v>
      </c>
      <c r="C196" t="s">
        <v>536</v>
      </c>
      <c r="D196" t="s">
        <v>537</v>
      </c>
      <c r="E196" t="s">
        <v>477</v>
      </c>
      <c r="F196" t="s">
        <v>538</v>
      </c>
      <c r="G196" t="s">
        <v>155</v>
      </c>
      <c r="H196" t="s">
        <v>10</v>
      </c>
      <c r="I196">
        <v>0</v>
      </c>
      <c r="J196" t="s">
        <v>577</v>
      </c>
      <c r="K196" s="9">
        <v>22.187</v>
      </c>
      <c r="L196" s="9">
        <v>10.788</v>
      </c>
      <c r="M196" s="9">
        <v>9.31</v>
      </c>
      <c r="N196" t="s">
        <v>14</v>
      </c>
      <c r="O196" s="9">
        <v>1.91</v>
      </c>
      <c r="S196" s="7">
        <v>69.48</v>
      </c>
      <c r="T196" s="7">
        <v>48.62</v>
      </c>
      <c r="X196" s="10" t="s">
        <v>428</v>
      </c>
      <c r="Y196" s="11" t="s">
        <v>578</v>
      </c>
      <c r="Z196" t="s">
        <v>430</v>
      </c>
    </row>
    <row r="197" spans="1:26">
      <c r="A197">
        <v>298</v>
      </c>
      <c r="B197" t="s">
        <v>581</v>
      </c>
      <c r="C197" t="s">
        <v>582</v>
      </c>
      <c r="D197" t="s">
        <v>583</v>
      </c>
      <c r="E197" t="s">
        <v>477</v>
      </c>
      <c r="F197" t="s">
        <v>584</v>
      </c>
      <c r="G197" t="s">
        <v>50</v>
      </c>
      <c r="H197" t="s">
        <v>10</v>
      </c>
      <c r="I197">
        <v>0</v>
      </c>
      <c r="J197" t="s">
        <v>585</v>
      </c>
      <c r="K197" s="9">
        <v>19.828</v>
      </c>
      <c r="L197" s="9">
        <v>7.038</v>
      </c>
      <c r="M197" s="9">
        <v>5.661</v>
      </c>
      <c r="N197" t="s">
        <v>14</v>
      </c>
      <c r="O197" s="9">
        <v>1.31</v>
      </c>
      <c r="S197" s="7">
        <v>60.6</v>
      </c>
      <c r="T197" s="7">
        <v>35.5</v>
      </c>
      <c r="X197" s="10" t="s">
        <v>428</v>
      </c>
      <c r="Y197" s="11" t="s">
        <v>586</v>
      </c>
      <c r="Z197" t="s">
        <v>522</v>
      </c>
    </row>
    <row r="198" spans="1:26">
      <c r="A198">
        <v>299</v>
      </c>
      <c r="B198" t="s">
        <v>581</v>
      </c>
      <c r="C198" t="s">
        <v>582</v>
      </c>
      <c r="D198" t="s">
        <v>583</v>
      </c>
      <c r="E198" t="s">
        <v>477</v>
      </c>
      <c r="F198" t="s">
        <v>584</v>
      </c>
      <c r="G198" t="s">
        <v>57</v>
      </c>
      <c r="H198" t="s">
        <v>10</v>
      </c>
      <c r="I198">
        <v>0</v>
      </c>
      <c r="J198" t="s">
        <v>587</v>
      </c>
      <c r="K198" s="9">
        <v>19.728</v>
      </c>
      <c r="L198" s="9">
        <v>5.697</v>
      </c>
      <c r="M198" s="9">
        <v>5.105</v>
      </c>
      <c r="N198" t="s">
        <v>14</v>
      </c>
      <c r="O198" s="9">
        <v>1.19</v>
      </c>
      <c r="S198" s="7">
        <v>53.26</v>
      </c>
      <c r="T198" s="7">
        <v>28.88</v>
      </c>
      <c r="X198" s="10" t="s">
        <v>428</v>
      </c>
      <c r="Y198" s="11" t="s">
        <v>588</v>
      </c>
      <c r="Z198" t="s">
        <v>522</v>
      </c>
    </row>
    <row r="199" spans="1:26">
      <c r="A199">
        <v>300</v>
      </c>
      <c r="B199" t="s">
        <v>581</v>
      </c>
      <c r="C199" t="s">
        <v>582</v>
      </c>
      <c r="D199" t="s">
        <v>583</v>
      </c>
      <c r="E199" t="s">
        <v>477</v>
      </c>
      <c r="F199" t="s">
        <v>584</v>
      </c>
      <c r="G199" t="s">
        <v>62</v>
      </c>
      <c r="H199" t="s">
        <v>10</v>
      </c>
      <c r="I199">
        <v>0</v>
      </c>
      <c r="J199" t="s">
        <v>589</v>
      </c>
      <c r="K199" s="9">
        <v>18.333</v>
      </c>
      <c r="L199" s="9">
        <v>5.059</v>
      </c>
      <c r="M199" s="9">
        <v>4.276</v>
      </c>
      <c r="N199" t="s">
        <v>14</v>
      </c>
      <c r="O199" s="9">
        <v>1.02</v>
      </c>
      <c r="S199" s="7">
        <v>53.13</v>
      </c>
      <c r="T199" s="7">
        <v>27.6</v>
      </c>
      <c r="X199" s="10" t="s">
        <v>428</v>
      </c>
      <c r="Y199" s="11" t="s">
        <v>590</v>
      </c>
      <c r="Z199" t="s">
        <v>522</v>
      </c>
    </row>
    <row r="200" spans="1:26">
      <c r="A200">
        <v>301</v>
      </c>
      <c r="B200" t="s">
        <v>581</v>
      </c>
      <c r="C200" t="s">
        <v>582</v>
      </c>
      <c r="D200" t="s">
        <v>583</v>
      </c>
      <c r="E200" t="s">
        <v>477</v>
      </c>
      <c r="F200" t="s">
        <v>584</v>
      </c>
      <c r="G200" t="s">
        <v>66</v>
      </c>
      <c r="H200" t="s">
        <v>10</v>
      </c>
      <c r="I200">
        <v>0</v>
      </c>
      <c r="J200" t="s">
        <v>591</v>
      </c>
      <c r="K200" s="9">
        <v>19.978</v>
      </c>
      <c r="L200" s="9">
        <v>5.884</v>
      </c>
      <c r="M200" s="9">
        <v>5.857</v>
      </c>
      <c r="N200" t="s">
        <v>14</v>
      </c>
      <c r="S200" s="7">
        <v>56.8</v>
      </c>
      <c r="T200" s="7">
        <v>29.45</v>
      </c>
      <c r="X200" s="10" t="s">
        <v>483</v>
      </c>
      <c r="Y200" s="11" t="s">
        <v>592</v>
      </c>
      <c r="Z200" t="s">
        <v>522</v>
      </c>
    </row>
    <row r="201" spans="1:26">
      <c r="A201">
        <v>302</v>
      </c>
      <c r="B201" t="s">
        <v>581</v>
      </c>
      <c r="C201" t="s">
        <v>582</v>
      </c>
      <c r="D201" t="s">
        <v>583</v>
      </c>
      <c r="E201" t="s">
        <v>477</v>
      </c>
      <c r="F201" t="s">
        <v>584</v>
      </c>
      <c r="G201" t="s">
        <v>71</v>
      </c>
      <c r="H201" t="s">
        <v>10</v>
      </c>
      <c r="I201">
        <v>0</v>
      </c>
      <c r="J201" t="s">
        <v>593</v>
      </c>
      <c r="K201" s="9">
        <v>19.673</v>
      </c>
      <c r="L201" s="9">
        <v>3.694</v>
      </c>
      <c r="M201" s="9">
        <v>3.361</v>
      </c>
      <c r="N201" t="s">
        <v>14</v>
      </c>
      <c r="O201" s="9">
        <v>0.82</v>
      </c>
      <c r="S201" s="7">
        <v>55.17</v>
      </c>
      <c r="T201" s="7">
        <v>18.78</v>
      </c>
      <c r="X201" s="10" t="s">
        <v>428</v>
      </c>
      <c r="Y201" s="11" t="s">
        <v>594</v>
      </c>
      <c r="Z201" t="s">
        <v>522</v>
      </c>
    </row>
    <row r="202" spans="1:26">
      <c r="A202">
        <v>303</v>
      </c>
      <c r="B202" t="s">
        <v>581</v>
      </c>
      <c r="C202" t="s">
        <v>582</v>
      </c>
      <c r="D202" t="s">
        <v>583</v>
      </c>
      <c r="E202" t="s">
        <v>477</v>
      </c>
      <c r="F202" t="s">
        <v>584</v>
      </c>
      <c r="G202" t="s">
        <v>75</v>
      </c>
      <c r="H202" t="s">
        <v>10</v>
      </c>
      <c r="I202">
        <v>0</v>
      </c>
      <c r="J202" t="s">
        <v>595</v>
      </c>
      <c r="K202" s="9">
        <v>19.631</v>
      </c>
      <c r="L202" s="9">
        <v>5.546</v>
      </c>
      <c r="M202" s="9">
        <v>5.061</v>
      </c>
      <c r="N202" t="s">
        <v>14</v>
      </c>
      <c r="O202" s="9">
        <v>1.24</v>
      </c>
      <c r="S202" s="7">
        <v>57.08</v>
      </c>
      <c r="T202" s="7">
        <v>28.25</v>
      </c>
      <c r="X202" s="10" t="s">
        <v>428</v>
      </c>
      <c r="Y202" s="11" t="s">
        <v>596</v>
      </c>
      <c r="Z202" t="s">
        <v>522</v>
      </c>
    </row>
    <row r="203" spans="1:26">
      <c r="A203">
        <v>304</v>
      </c>
      <c r="B203" t="s">
        <v>581</v>
      </c>
      <c r="C203" t="s">
        <v>582</v>
      </c>
      <c r="D203" t="s">
        <v>583</v>
      </c>
      <c r="E203" t="s">
        <v>477</v>
      </c>
      <c r="F203" t="s">
        <v>584</v>
      </c>
      <c r="G203" t="s">
        <v>80</v>
      </c>
      <c r="H203" t="s">
        <v>10</v>
      </c>
      <c r="I203">
        <v>0</v>
      </c>
      <c r="J203" t="s">
        <v>597</v>
      </c>
      <c r="K203" s="9">
        <v>19.192</v>
      </c>
      <c r="L203" s="9">
        <v>5.227</v>
      </c>
      <c r="M203" s="9">
        <v>6.823</v>
      </c>
      <c r="N203" t="s">
        <v>14</v>
      </c>
      <c r="O203" s="9">
        <v>1.67</v>
      </c>
      <c r="S203" s="7">
        <v>55.99</v>
      </c>
      <c r="T203" s="7">
        <v>27.24</v>
      </c>
      <c r="X203" s="10" t="s">
        <v>428</v>
      </c>
      <c r="Y203" s="11" t="s">
        <v>598</v>
      </c>
      <c r="Z203" t="s">
        <v>522</v>
      </c>
    </row>
    <row r="204" spans="1:26">
      <c r="A204">
        <v>305</v>
      </c>
      <c r="B204" t="s">
        <v>581</v>
      </c>
      <c r="C204" t="s">
        <v>582</v>
      </c>
      <c r="D204" t="s">
        <v>583</v>
      </c>
      <c r="E204" t="s">
        <v>477</v>
      </c>
      <c r="F204" t="s">
        <v>584</v>
      </c>
      <c r="G204" t="s">
        <v>85</v>
      </c>
      <c r="H204" t="s">
        <v>10</v>
      </c>
      <c r="I204">
        <v>0</v>
      </c>
      <c r="J204" t="s">
        <v>599</v>
      </c>
      <c r="K204" s="9">
        <v>20.528</v>
      </c>
      <c r="L204" s="9">
        <v>4.989</v>
      </c>
      <c r="M204" s="9">
        <v>4.623</v>
      </c>
      <c r="N204" t="s">
        <v>14</v>
      </c>
      <c r="S204" s="7">
        <v>53.63</v>
      </c>
      <c r="T204" s="7">
        <v>24.3</v>
      </c>
      <c r="X204" s="10" t="s">
        <v>483</v>
      </c>
      <c r="Y204" s="11" t="s">
        <v>600</v>
      </c>
      <c r="Z204" t="s">
        <v>522</v>
      </c>
    </row>
    <row r="205" spans="1:26">
      <c r="A205">
        <v>306</v>
      </c>
      <c r="B205" t="s">
        <v>581</v>
      </c>
      <c r="C205" t="s">
        <v>582</v>
      </c>
      <c r="D205" t="s">
        <v>583</v>
      </c>
      <c r="E205" t="s">
        <v>477</v>
      </c>
      <c r="F205" t="s">
        <v>584</v>
      </c>
      <c r="G205" t="s">
        <v>89</v>
      </c>
      <c r="H205" t="s">
        <v>10</v>
      </c>
      <c r="I205">
        <v>0</v>
      </c>
      <c r="J205" t="s">
        <v>601</v>
      </c>
      <c r="K205" s="9">
        <v>18.353</v>
      </c>
      <c r="L205" s="9">
        <v>4.341</v>
      </c>
      <c r="M205" s="9">
        <v>8.113</v>
      </c>
      <c r="N205" t="s">
        <v>14</v>
      </c>
      <c r="O205" s="9">
        <v>1.98</v>
      </c>
      <c r="S205" s="7">
        <v>50.37</v>
      </c>
      <c r="T205" s="7">
        <v>23.65</v>
      </c>
      <c r="X205" s="10" t="s">
        <v>428</v>
      </c>
      <c r="Y205" s="11" t="s">
        <v>602</v>
      </c>
      <c r="Z205" t="s">
        <v>522</v>
      </c>
    </row>
    <row r="206" spans="1:26">
      <c r="A206">
        <v>307</v>
      </c>
      <c r="B206" t="s">
        <v>581</v>
      </c>
      <c r="C206" t="s">
        <v>582</v>
      </c>
      <c r="D206" t="s">
        <v>583</v>
      </c>
      <c r="E206" t="s">
        <v>477</v>
      </c>
      <c r="F206" t="s">
        <v>584</v>
      </c>
      <c r="G206" t="s">
        <v>93</v>
      </c>
      <c r="H206" t="s">
        <v>10</v>
      </c>
      <c r="I206">
        <v>0</v>
      </c>
      <c r="J206" t="s">
        <v>603</v>
      </c>
      <c r="K206" s="9">
        <v>15.321</v>
      </c>
      <c r="L206" s="9">
        <v>-0.7</v>
      </c>
      <c r="M206" s="9">
        <v>-0.454</v>
      </c>
      <c r="N206" t="s">
        <v>14</v>
      </c>
      <c r="O206" s="9">
        <v>-0.11</v>
      </c>
      <c r="S206" s="7">
        <v>36.47</v>
      </c>
      <c r="T206" s="7">
        <v>-4.57</v>
      </c>
      <c r="X206" s="10" t="s">
        <v>428</v>
      </c>
      <c r="Y206" s="11" t="s">
        <v>604</v>
      </c>
      <c r="Z206" t="s">
        <v>522</v>
      </c>
    </row>
    <row r="207" spans="1:26">
      <c r="A207">
        <v>308</v>
      </c>
      <c r="B207" t="s">
        <v>581</v>
      </c>
      <c r="C207" t="s">
        <v>582</v>
      </c>
      <c r="D207" t="s">
        <v>583</v>
      </c>
      <c r="E207" t="s">
        <v>477</v>
      </c>
      <c r="F207" t="s">
        <v>584</v>
      </c>
      <c r="G207" t="s">
        <v>98</v>
      </c>
      <c r="H207" t="s">
        <v>10</v>
      </c>
      <c r="I207">
        <v>0</v>
      </c>
      <c r="J207" t="s">
        <v>605</v>
      </c>
      <c r="K207" s="9">
        <v>15.338</v>
      </c>
      <c r="L207" s="9">
        <v>-0.175</v>
      </c>
      <c r="M207" s="9">
        <v>1.019</v>
      </c>
      <c r="N207" t="s">
        <v>14</v>
      </c>
      <c r="O207" s="9">
        <v>0.25</v>
      </c>
      <c r="S207" s="7">
        <v>42.61</v>
      </c>
      <c r="T207" s="7">
        <v>-1.14</v>
      </c>
      <c r="X207" s="10" t="s">
        <v>428</v>
      </c>
      <c r="Y207" s="11" t="s">
        <v>606</v>
      </c>
      <c r="Z207" t="s">
        <v>522</v>
      </c>
    </row>
    <row r="208" spans="1:26">
      <c r="A208">
        <v>309</v>
      </c>
      <c r="B208" t="s">
        <v>581</v>
      </c>
      <c r="C208" t="s">
        <v>582</v>
      </c>
      <c r="D208" t="s">
        <v>583</v>
      </c>
      <c r="E208" t="s">
        <v>477</v>
      </c>
      <c r="F208" t="s">
        <v>584</v>
      </c>
      <c r="G208" t="s">
        <v>103</v>
      </c>
      <c r="H208" t="s">
        <v>10</v>
      </c>
      <c r="I208">
        <v>0</v>
      </c>
      <c r="J208" t="s">
        <v>607</v>
      </c>
      <c r="K208" s="9">
        <v>14.042</v>
      </c>
      <c r="L208" s="9">
        <v>-1.132</v>
      </c>
      <c r="M208" s="9">
        <v>-0.664</v>
      </c>
      <c r="N208" t="s">
        <v>14</v>
      </c>
      <c r="S208" s="7">
        <v>39.17</v>
      </c>
      <c r="T208" s="7">
        <v>-8.06</v>
      </c>
      <c r="X208" s="10" t="s">
        <v>483</v>
      </c>
      <c r="Y208" s="11" t="s">
        <v>608</v>
      </c>
      <c r="Z208" t="s">
        <v>522</v>
      </c>
    </row>
    <row r="209" spans="1:26">
      <c r="A209">
        <v>310</v>
      </c>
      <c r="B209" t="s">
        <v>581</v>
      </c>
      <c r="C209" t="s">
        <v>582</v>
      </c>
      <c r="D209" t="s">
        <v>583</v>
      </c>
      <c r="E209" t="s">
        <v>477</v>
      </c>
      <c r="F209" t="s">
        <v>584</v>
      </c>
      <c r="G209" t="s">
        <v>107</v>
      </c>
      <c r="H209" t="s">
        <v>10</v>
      </c>
      <c r="I209">
        <v>0</v>
      </c>
      <c r="J209" t="s">
        <v>609</v>
      </c>
      <c r="K209" s="9">
        <v>11.715</v>
      </c>
      <c r="L209" s="9">
        <v>-1.468</v>
      </c>
      <c r="M209" s="9">
        <v>-2.758</v>
      </c>
      <c r="N209" t="s">
        <v>14</v>
      </c>
      <c r="O209" s="9">
        <v>-0.66</v>
      </c>
      <c r="S209" s="7">
        <v>34.21</v>
      </c>
      <c r="T209" s="7">
        <v>-12.53</v>
      </c>
      <c r="X209" s="10" t="s">
        <v>428</v>
      </c>
      <c r="Y209" s="11" t="s">
        <v>610</v>
      </c>
      <c r="Z209" t="s">
        <v>522</v>
      </c>
    </row>
    <row r="210" spans="1:26">
      <c r="A210">
        <v>311</v>
      </c>
      <c r="B210" t="s">
        <v>581</v>
      </c>
      <c r="C210" t="s">
        <v>582</v>
      </c>
      <c r="D210" t="s">
        <v>583</v>
      </c>
      <c r="E210" t="s">
        <v>477</v>
      </c>
      <c r="F210" t="s">
        <v>584</v>
      </c>
      <c r="G210" t="s">
        <v>112</v>
      </c>
      <c r="H210" t="s">
        <v>10</v>
      </c>
      <c r="I210">
        <v>0</v>
      </c>
      <c r="J210" t="s">
        <v>611</v>
      </c>
      <c r="K210" s="9">
        <v>12.949</v>
      </c>
      <c r="L210" s="9">
        <v>-1.016</v>
      </c>
      <c r="M210" s="9">
        <v>1.481</v>
      </c>
      <c r="N210" t="s">
        <v>14</v>
      </c>
      <c r="O210" s="9">
        <v>0.35</v>
      </c>
      <c r="S210" s="7">
        <v>35.82</v>
      </c>
      <c r="T210" s="7">
        <v>-7.85</v>
      </c>
      <c r="X210" s="10" t="s">
        <v>428</v>
      </c>
      <c r="Y210" s="11" t="s">
        <v>612</v>
      </c>
      <c r="Z210" t="s">
        <v>522</v>
      </c>
    </row>
    <row r="211" spans="1:26">
      <c r="A211">
        <v>312</v>
      </c>
      <c r="B211" t="s">
        <v>581</v>
      </c>
      <c r="C211" t="s">
        <v>582</v>
      </c>
      <c r="D211" t="s">
        <v>583</v>
      </c>
      <c r="E211" t="s">
        <v>477</v>
      </c>
      <c r="F211" t="s">
        <v>584</v>
      </c>
      <c r="G211" t="s">
        <v>116</v>
      </c>
      <c r="H211" t="s">
        <v>10</v>
      </c>
      <c r="I211">
        <v>0</v>
      </c>
      <c r="J211" t="s">
        <v>613</v>
      </c>
      <c r="K211" s="9">
        <v>14.158</v>
      </c>
      <c r="L211" s="9">
        <v>-0.008</v>
      </c>
      <c r="M211" s="9">
        <v>0.297</v>
      </c>
      <c r="N211" t="s">
        <v>14</v>
      </c>
      <c r="O211" s="9">
        <v>0.07000000000000001</v>
      </c>
      <c r="S211" s="7">
        <v>42.51</v>
      </c>
      <c r="T211" s="7">
        <v>-0.06</v>
      </c>
      <c r="X211" s="10" t="s">
        <v>428</v>
      </c>
      <c r="Y211" s="11" t="s">
        <v>614</v>
      </c>
      <c r="Z211" t="s">
        <v>522</v>
      </c>
    </row>
    <row r="212" spans="1:26">
      <c r="A212">
        <v>313</v>
      </c>
      <c r="B212" t="s">
        <v>581</v>
      </c>
      <c r="C212" t="s">
        <v>582</v>
      </c>
      <c r="D212" t="s">
        <v>583</v>
      </c>
      <c r="E212" t="s">
        <v>477</v>
      </c>
      <c r="F212" t="s">
        <v>584</v>
      </c>
      <c r="G212" t="s">
        <v>120</v>
      </c>
      <c r="H212" t="s">
        <v>10</v>
      </c>
      <c r="I212">
        <v>0</v>
      </c>
      <c r="J212" t="s">
        <v>615</v>
      </c>
      <c r="K212" s="9">
        <v>15.406</v>
      </c>
      <c r="L212" s="9">
        <v>2.585</v>
      </c>
      <c r="M212" s="9">
        <v>2.669</v>
      </c>
      <c r="N212" t="s">
        <v>14</v>
      </c>
      <c r="S212" s="7">
        <v>45.74</v>
      </c>
      <c r="T212" s="7">
        <v>16.78</v>
      </c>
      <c r="X212" s="10" t="s">
        <v>483</v>
      </c>
      <c r="Y212" s="11" t="s">
        <v>616</v>
      </c>
      <c r="Z212" t="s">
        <v>522</v>
      </c>
    </row>
    <row r="213" spans="1:26">
      <c r="A213">
        <v>314</v>
      </c>
      <c r="B213" t="s">
        <v>581</v>
      </c>
      <c r="C213" t="s">
        <v>582</v>
      </c>
      <c r="D213" t="s">
        <v>583</v>
      </c>
      <c r="E213" t="s">
        <v>477</v>
      </c>
      <c r="F213" t="s">
        <v>584</v>
      </c>
      <c r="G213" t="s">
        <v>124</v>
      </c>
      <c r="H213" t="s">
        <v>10</v>
      </c>
      <c r="I213">
        <v>0</v>
      </c>
      <c r="J213" t="s">
        <v>617</v>
      </c>
      <c r="K213" s="9">
        <v>12.724</v>
      </c>
      <c r="L213" s="9">
        <v>-1.069</v>
      </c>
      <c r="M213" s="9">
        <v>-0.381</v>
      </c>
      <c r="N213" t="s">
        <v>14</v>
      </c>
      <c r="O213" s="9">
        <v>-0.09</v>
      </c>
      <c r="S213" s="7">
        <v>41</v>
      </c>
      <c r="T213" s="7">
        <v>-8.4</v>
      </c>
      <c r="X213" s="10" t="s">
        <v>428</v>
      </c>
      <c r="Y213" s="11" t="s">
        <v>618</v>
      </c>
      <c r="Z213" t="s">
        <v>522</v>
      </c>
    </row>
    <row r="214" spans="1:26">
      <c r="A214">
        <v>315</v>
      </c>
      <c r="B214" t="s">
        <v>581</v>
      </c>
      <c r="C214" t="s">
        <v>582</v>
      </c>
      <c r="D214" t="s">
        <v>583</v>
      </c>
      <c r="E214" t="s">
        <v>477</v>
      </c>
      <c r="F214" t="s">
        <v>584</v>
      </c>
      <c r="G214" t="s">
        <v>128</v>
      </c>
      <c r="H214" t="s">
        <v>10</v>
      </c>
      <c r="I214">
        <v>0</v>
      </c>
      <c r="J214" t="s">
        <v>619</v>
      </c>
      <c r="K214" s="9">
        <v>12.833</v>
      </c>
      <c r="L214" s="9">
        <v>-1.964</v>
      </c>
      <c r="M214" s="9">
        <v>-1.61</v>
      </c>
      <c r="N214" t="s">
        <v>14</v>
      </c>
      <c r="O214" s="9">
        <v>-0.38</v>
      </c>
      <c r="S214" s="7">
        <v>35.43</v>
      </c>
      <c r="T214" s="7">
        <v>-15.3</v>
      </c>
      <c r="X214" s="10" t="s">
        <v>428</v>
      </c>
      <c r="Y214" s="11" t="s">
        <v>620</v>
      </c>
      <c r="Z214" t="s">
        <v>522</v>
      </c>
    </row>
    <row r="215" spans="1:26">
      <c r="A215">
        <v>316</v>
      </c>
      <c r="B215" t="s">
        <v>581</v>
      </c>
      <c r="C215" t="s">
        <v>582</v>
      </c>
      <c r="D215" t="s">
        <v>583</v>
      </c>
      <c r="E215" t="s">
        <v>477</v>
      </c>
      <c r="F215" t="s">
        <v>584</v>
      </c>
      <c r="G215" t="s">
        <v>133</v>
      </c>
      <c r="H215" t="s">
        <v>10</v>
      </c>
      <c r="I215">
        <v>0</v>
      </c>
      <c r="J215" t="s">
        <v>621</v>
      </c>
      <c r="K215" s="9">
        <v>13.284</v>
      </c>
      <c r="L215" s="9">
        <v>-9.057</v>
      </c>
      <c r="M215" s="9">
        <v>-16.639</v>
      </c>
      <c r="N215" t="s">
        <v>14</v>
      </c>
      <c r="O215" s="9">
        <v>-3.88</v>
      </c>
      <c r="S215" s="7">
        <v>15.03</v>
      </c>
      <c r="T215" s="7">
        <v>-68.18000000000001</v>
      </c>
      <c r="X215" s="10" t="s">
        <v>428</v>
      </c>
      <c r="Y215" s="11" t="s">
        <v>622</v>
      </c>
      <c r="Z215" t="s">
        <v>522</v>
      </c>
    </row>
    <row r="216" spans="1:26">
      <c r="A216">
        <v>317</v>
      </c>
      <c r="B216" t="s">
        <v>581</v>
      </c>
      <c r="C216" t="s">
        <v>582</v>
      </c>
      <c r="D216" t="s">
        <v>583</v>
      </c>
      <c r="E216" t="s">
        <v>477</v>
      </c>
      <c r="F216" t="s">
        <v>584</v>
      </c>
      <c r="G216" t="s">
        <v>137</v>
      </c>
      <c r="H216" t="s">
        <v>10</v>
      </c>
      <c r="I216">
        <v>0</v>
      </c>
      <c r="J216" t="s">
        <v>615</v>
      </c>
      <c r="K216" s="9">
        <v>14.26</v>
      </c>
      <c r="L216" s="9">
        <v>0.412</v>
      </c>
      <c r="M216" s="9">
        <v>-0.126</v>
      </c>
      <c r="N216" t="s">
        <v>14</v>
      </c>
      <c r="S216" s="7">
        <v>39.16</v>
      </c>
      <c r="T216" s="7">
        <v>2.89</v>
      </c>
      <c r="X216" s="10" t="s">
        <v>483</v>
      </c>
      <c r="Y216" s="11" t="s">
        <v>616</v>
      </c>
      <c r="Z216" t="s">
        <v>522</v>
      </c>
    </row>
    <row r="217" spans="1:26">
      <c r="A217">
        <v>318</v>
      </c>
      <c r="B217" t="s">
        <v>581</v>
      </c>
      <c r="C217" t="s">
        <v>582</v>
      </c>
      <c r="D217" t="s">
        <v>583</v>
      </c>
      <c r="E217" t="s">
        <v>477</v>
      </c>
      <c r="F217" t="s">
        <v>584</v>
      </c>
      <c r="G217" t="s">
        <v>141</v>
      </c>
      <c r="H217" t="s">
        <v>10</v>
      </c>
      <c r="I217">
        <v>0</v>
      </c>
      <c r="J217" t="s">
        <v>623</v>
      </c>
      <c r="K217" s="9">
        <v>12.667</v>
      </c>
      <c r="L217" s="9">
        <v>-0.301</v>
      </c>
      <c r="M217" s="9">
        <v>-0.821</v>
      </c>
      <c r="N217" t="s">
        <v>14</v>
      </c>
      <c r="O217" s="9">
        <v>-0.19</v>
      </c>
      <c r="S217" s="7">
        <v>36.88</v>
      </c>
      <c r="T217" s="7">
        <v>-2.38</v>
      </c>
      <c r="X217" s="10" t="s">
        <v>428</v>
      </c>
      <c r="Y217" s="11" t="s">
        <v>624</v>
      </c>
      <c r="Z217" t="s">
        <v>522</v>
      </c>
    </row>
    <row r="218" spans="1:26">
      <c r="A218">
        <v>319</v>
      </c>
      <c r="B218" t="s">
        <v>581</v>
      </c>
      <c r="C218" t="s">
        <v>582</v>
      </c>
      <c r="D218" t="s">
        <v>583</v>
      </c>
      <c r="E218" t="s">
        <v>477</v>
      </c>
      <c r="F218" t="s">
        <v>584</v>
      </c>
      <c r="G218" t="s">
        <v>146</v>
      </c>
      <c r="H218" t="s">
        <v>10</v>
      </c>
      <c r="I218">
        <v>0</v>
      </c>
      <c r="J218" t="s">
        <v>625</v>
      </c>
      <c r="K218" s="9">
        <v>12.859</v>
      </c>
      <c r="L218" s="9">
        <v>-3.176</v>
      </c>
      <c r="M218" s="9">
        <v>-2.918</v>
      </c>
      <c r="N218" t="s">
        <v>14</v>
      </c>
      <c r="O218" s="9">
        <v>-0.67</v>
      </c>
      <c r="S218" s="7">
        <v>27.54</v>
      </c>
      <c r="T218" s="7">
        <v>-24.7</v>
      </c>
      <c r="X218" s="10" t="s">
        <v>428</v>
      </c>
      <c r="Y218" s="11" t="s">
        <v>626</v>
      </c>
      <c r="Z218" t="s">
        <v>522</v>
      </c>
    </row>
    <row r="219" spans="1:26">
      <c r="A219">
        <v>320</v>
      </c>
      <c r="B219" t="s">
        <v>581</v>
      </c>
      <c r="C219" t="s">
        <v>582</v>
      </c>
      <c r="D219" t="s">
        <v>583</v>
      </c>
      <c r="E219" t="s">
        <v>477</v>
      </c>
      <c r="F219" t="s">
        <v>584</v>
      </c>
      <c r="G219" t="s">
        <v>472</v>
      </c>
      <c r="H219" t="s">
        <v>10</v>
      </c>
      <c r="I219">
        <v>0</v>
      </c>
      <c r="J219" t="s">
        <v>621</v>
      </c>
      <c r="K219" s="9">
        <v>13.653</v>
      </c>
      <c r="L219" s="9">
        <v>0.6830000000000001</v>
      </c>
      <c r="M219" s="9">
        <v>4.063</v>
      </c>
      <c r="N219" t="s">
        <v>14</v>
      </c>
      <c r="O219" s="9">
        <v>0.9</v>
      </c>
      <c r="S219" s="7">
        <v>38.22</v>
      </c>
      <c r="T219" s="7">
        <v>5</v>
      </c>
      <c r="X219" s="10" t="s">
        <v>428</v>
      </c>
      <c r="Y219" s="11" t="s">
        <v>622</v>
      </c>
      <c r="Z219" t="s">
        <v>522</v>
      </c>
    </row>
    <row r="220" spans="1:26">
      <c r="A220">
        <v>321</v>
      </c>
      <c r="B220" t="s">
        <v>581</v>
      </c>
      <c r="C220" t="s">
        <v>582</v>
      </c>
      <c r="D220" t="s">
        <v>583</v>
      </c>
      <c r="E220" t="s">
        <v>477</v>
      </c>
      <c r="F220" t="s">
        <v>584</v>
      </c>
      <c r="G220" t="s">
        <v>475</v>
      </c>
      <c r="H220" t="s">
        <v>10</v>
      </c>
      <c r="I220">
        <v>0</v>
      </c>
      <c r="J220" t="s">
        <v>615</v>
      </c>
      <c r="K220" s="9">
        <v>13.674</v>
      </c>
      <c r="L220" s="9">
        <v>0.58</v>
      </c>
      <c r="M220" s="9">
        <v>-0.591</v>
      </c>
      <c r="N220" t="s">
        <v>14</v>
      </c>
      <c r="S220" s="7">
        <v>36.15</v>
      </c>
      <c r="T220" s="7">
        <v>4.24</v>
      </c>
      <c r="X220" s="10" t="s">
        <v>483</v>
      </c>
      <c r="Y220" s="11" t="s">
        <v>616</v>
      </c>
      <c r="Z220" t="s">
        <v>522</v>
      </c>
    </row>
    <row r="221" spans="1:26">
      <c r="A221">
        <v>322</v>
      </c>
      <c r="B221" t="s">
        <v>581</v>
      </c>
      <c r="C221" t="s">
        <v>582</v>
      </c>
      <c r="D221" t="s">
        <v>583</v>
      </c>
      <c r="E221" t="s">
        <v>477</v>
      </c>
      <c r="F221" t="s">
        <v>584</v>
      </c>
      <c r="G221" t="s">
        <v>150</v>
      </c>
      <c r="H221" t="s">
        <v>10</v>
      </c>
      <c r="I221">
        <v>0</v>
      </c>
      <c r="J221" t="s">
        <v>623</v>
      </c>
      <c r="K221" s="9">
        <v>13.577</v>
      </c>
      <c r="L221" s="9">
        <v>-3.136</v>
      </c>
      <c r="M221" s="9">
        <v>-3.728</v>
      </c>
      <c r="N221" t="s">
        <v>14</v>
      </c>
      <c r="O221" s="9">
        <v>-0.73</v>
      </c>
      <c r="S221" s="7">
        <v>39.38</v>
      </c>
      <c r="T221" s="7">
        <v>-23.1</v>
      </c>
      <c r="X221" s="10" t="s">
        <v>428</v>
      </c>
      <c r="Y221" s="11" t="s">
        <v>624</v>
      </c>
      <c r="Z221" t="s">
        <v>522</v>
      </c>
    </row>
    <row r="222" spans="1:26">
      <c r="A222">
        <v>323</v>
      </c>
      <c r="B222" t="s">
        <v>581</v>
      </c>
      <c r="C222" t="s">
        <v>582</v>
      </c>
      <c r="D222" t="s">
        <v>583</v>
      </c>
      <c r="E222" t="s">
        <v>477</v>
      </c>
      <c r="F222" t="s">
        <v>584</v>
      </c>
      <c r="G222" t="s">
        <v>155</v>
      </c>
      <c r="H222" t="s">
        <v>10</v>
      </c>
      <c r="I222">
        <v>0</v>
      </c>
      <c r="J222" t="s">
        <v>625</v>
      </c>
      <c r="K222" s="9">
        <v>16.128</v>
      </c>
      <c r="L222" s="9">
        <v>1.796</v>
      </c>
      <c r="M222" s="9">
        <v>-11.033</v>
      </c>
      <c r="N222" t="s">
        <v>14</v>
      </c>
      <c r="O222" s="9">
        <v>-2.16</v>
      </c>
      <c r="S222" s="7">
        <v>40.36</v>
      </c>
      <c r="T222" s="7">
        <v>11.14</v>
      </c>
      <c r="X222" s="10" t="s">
        <v>428</v>
      </c>
      <c r="Y222" s="11" t="s">
        <v>626</v>
      </c>
      <c r="Z222" t="s">
        <v>522</v>
      </c>
    </row>
    <row r="223" spans="1:26">
      <c r="A223">
        <v>1</v>
      </c>
      <c r="B223" t="s">
        <v>627</v>
      </c>
      <c r="C223" t="s">
        <v>628</v>
      </c>
      <c r="D223" t="s">
        <v>627</v>
      </c>
      <c r="E223" t="s">
        <v>477</v>
      </c>
      <c r="F223" t="s">
        <v>629</v>
      </c>
      <c r="G223" t="s">
        <v>50</v>
      </c>
      <c r="H223" t="s">
        <v>10</v>
      </c>
      <c r="I223">
        <v>0</v>
      </c>
      <c r="J223" t="s">
        <v>630</v>
      </c>
      <c r="K223" s="9">
        <v>3.08</v>
      </c>
      <c r="L223" s="9">
        <v>0.98</v>
      </c>
      <c r="M223" s="9">
        <v>0.92</v>
      </c>
      <c r="N223" t="s">
        <v>14</v>
      </c>
      <c r="O223" s="9">
        <v>0.45</v>
      </c>
      <c r="P223" s="9">
        <v>0.42</v>
      </c>
      <c r="Q223" s="9">
        <v>3.01</v>
      </c>
      <c r="R223" t="s">
        <v>59</v>
      </c>
      <c r="S223" s="7">
        <v>65.09999999999999</v>
      </c>
      <c r="V223" s="10" t="s">
        <v>631</v>
      </c>
      <c r="X223" s="10" t="s">
        <v>632</v>
      </c>
      <c r="Y223" s="10" t="s">
        <v>633</v>
      </c>
      <c r="Z223" t="s">
        <v>56</v>
      </c>
    </row>
    <row r="224" spans="1:26">
      <c r="A224">
        <v>2</v>
      </c>
      <c r="B224" t="s">
        <v>627</v>
      </c>
      <c r="C224" t="s">
        <v>628</v>
      </c>
      <c r="D224" t="s">
        <v>627</v>
      </c>
      <c r="E224" t="s">
        <v>477</v>
      </c>
      <c r="F224" t="s">
        <v>629</v>
      </c>
      <c r="G224" t="s">
        <v>57</v>
      </c>
      <c r="H224" t="s">
        <v>10</v>
      </c>
      <c r="I224">
        <v>0</v>
      </c>
      <c r="J224" t="s">
        <v>634</v>
      </c>
      <c r="K224" s="9">
        <v>3.87</v>
      </c>
      <c r="L224" s="9">
        <v>1.37</v>
      </c>
      <c r="M224" s="9">
        <v>1.3</v>
      </c>
      <c r="N224" t="s">
        <v>14</v>
      </c>
      <c r="O224" s="9">
        <v>0.55</v>
      </c>
      <c r="P224" s="9">
        <v>0.49</v>
      </c>
      <c r="Q224" s="9">
        <v>3.65</v>
      </c>
      <c r="R224" t="s">
        <v>59</v>
      </c>
      <c r="S224" s="7">
        <v>58.8</v>
      </c>
      <c r="V224" s="10" t="s">
        <v>635</v>
      </c>
      <c r="X224" s="10" t="s">
        <v>636</v>
      </c>
      <c r="Y224" s="10" t="s">
        <v>637</v>
      </c>
      <c r="Z224" t="s">
        <v>56</v>
      </c>
    </row>
    <row r="225" spans="1:26">
      <c r="A225">
        <v>3</v>
      </c>
      <c r="B225" t="s">
        <v>627</v>
      </c>
      <c r="C225" t="s">
        <v>628</v>
      </c>
      <c r="D225" t="s">
        <v>627</v>
      </c>
      <c r="E225" t="s">
        <v>477</v>
      </c>
      <c r="F225" t="s">
        <v>629</v>
      </c>
      <c r="G225" t="s">
        <v>62</v>
      </c>
      <c r="H225" t="s">
        <v>10</v>
      </c>
      <c r="I225">
        <v>0</v>
      </c>
      <c r="J225" t="s">
        <v>638</v>
      </c>
      <c r="K225" s="9">
        <v>4.73</v>
      </c>
      <c r="L225" s="9">
        <v>1.4</v>
      </c>
      <c r="M225" s="9">
        <v>1.34</v>
      </c>
      <c r="N225" t="s">
        <v>14</v>
      </c>
      <c r="O225" s="9">
        <v>0.73</v>
      </c>
      <c r="P225" s="9">
        <v>0.65</v>
      </c>
      <c r="Q225" s="9">
        <v>4.42</v>
      </c>
      <c r="R225" t="s">
        <v>59</v>
      </c>
      <c r="S225" s="7">
        <v>62.6</v>
      </c>
      <c r="V225" s="10" t="s">
        <v>639</v>
      </c>
      <c r="X225" s="10" t="s">
        <v>640</v>
      </c>
      <c r="Y225" s="10" t="s">
        <v>641</v>
      </c>
      <c r="Z225" t="s">
        <v>56</v>
      </c>
    </row>
    <row r="226" spans="1:26">
      <c r="A226">
        <v>4</v>
      </c>
      <c r="B226" t="s">
        <v>627</v>
      </c>
      <c r="C226" t="s">
        <v>628</v>
      </c>
      <c r="D226" t="s">
        <v>627</v>
      </c>
      <c r="E226" t="s">
        <v>477</v>
      </c>
      <c r="F226" t="s">
        <v>629</v>
      </c>
      <c r="G226" t="s">
        <v>66</v>
      </c>
      <c r="H226" t="s">
        <v>10</v>
      </c>
      <c r="I226">
        <v>0</v>
      </c>
      <c r="J226" t="s">
        <v>642</v>
      </c>
      <c r="K226" s="9">
        <v>5</v>
      </c>
      <c r="L226" s="9">
        <v>1.51</v>
      </c>
      <c r="M226" s="9">
        <v>1.46</v>
      </c>
      <c r="N226" t="s">
        <v>14</v>
      </c>
      <c r="O226" s="9">
        <v>0.78</v>
      </c>
      <c r="P226" s="9">
        <v>0.7</v>
      </c>
      <c r="Q226" s="9">
        <v>4.82</v>
      </c>
      <c r="R226" t="s">
        <v>59</v>
      </c>
      <c r="S226" s="7">
        <v>63.1</v>
      </c>
      <c r="V226" s="10" t="s">
        <v>643</v>
      </c>
      <c r="X226" s="10" t="s">
        <v>644</v>
      </c>
      <c r="Y226" s="10" t="s">
        <v>645</v>
      </c>
      <c r="Z226" t="s">
        <v>56</v>
      </c>
    </row>
    <row r="227" spans="1:26">
      <c r="A227">
        <v>5</v>
      </c>
      <c r="B227" t="s">
        <v>627</v>
      </c>
      <c r="C227" t="s">
        <v>628</v>
      </c>
      <c r="D227" t="s">
        <v>627</v>
      </c>
      <c r="E227" t="s">
        <v>477</v>
      </c>
      <c r="F227" t="s">
        <v>629</v>
      </c>
      <c r="G227" t="s">
        <v>71</v>
      </c>
      <c r="H227" t="s">
        <v>10</v>
      </c>
      <c r="I227">
        <v>0</v>
      </c>
      <c r="J227" t="s">
        <v>646</v>
      </c>
      <c r="K227" s="9">
        <v>5.66</v>
      </c>
      <c r="L227" s="9">
        <v>1.96</v>
      </c>
      <c r="M227" s="9">
        <v>1.91</v>
      </c>
      <c r="N227" t="s">
        <v>14</v>
      </c>
      <c r="O227" s="9">
        <v>0.91</v>
      </c>
      <c r="P227" s="9">
        <v>0.83</v>
      </c>
      <c r="Q227" s="9">
        <v>5.41</v>
      </c>
      <c r="R227" t="s">
        <v>59</v>
      </c>
      <c r="S227" s="7">
        <v>64.09999999999999</v>
      </c>
      <c r="V227" s="10" t="s">
        <v>647</v>
      </c>
      <c r="X227" s="10" t="s">
        <v>648</v>
      </c>
      <c r="Y227" s="10" t="s">
        <v>649</v>
      </c>
      <c r="Z227" t="s">
        <v>56</v>
      </c>
    </row>
    <row r="228" spans="1:26">
      <c r="A228">
        <v>6</v>
      </c>
      <c r="B228" t="s">
        <v>627</v>
      </c>
      <c r="C228" t="s">
        <v>628</v>
      </c>
      <c r="D228" t="s">
        <v>627</v>
      </c>
      <c r="E228" t="s">
        <v>477</v>
      </c>
      <c r="F228" t="s">
        <v>629</v>
      </c>
      <c r="G228" t="s">
        <v>75</v>
      </c>
      <c r="H228" t="s">
        <v>10</v>
      </c>
      <c r="I228">
        <v>0</v>
      </c>
      <c r="J228" t="s">
        <v>650</v>
      </c>
      <c r="K228" s="9">
        <v>6.51</v>
      </c>
      <c r="L228" s="9">
        <v>2.44</v>
      </c>
      <c r="M228" s="9">
        <v>2.37</v>
      </c>
      <c r="N228" t="s">
        <v>14</v>
      </c>
      <c r="O228" s="9">
        <v>1.04</v>
      </c>
      <c r="P228" s="9">
        <v>1.02</v>
      </c>
      <c r="Q228" s="9">
        <v>6.33</v>
      </c>
      <c r="R228" t="s">
        <v>59</v>
      </c>
      <c r="S228" s="7">
        <v>64.8</v>
      </c>
      <c r="V228" s="10" t="s">
        <v>651</v>
      </c>
      <c r="X228" s="10" t="s">
        <v>652</v>
      </c>
      <c r="Y228" s="10" t="s">
        <v>653</v>
      </c>
      <c r="Z228" t="s">
        <v>56</v>
      </c>
    </row>
    <row r="229" spans="1:26">
      <c r="A229">
        <v>7</v>
      </c>
      <c r="B229" t="s">
        <v>627</v>
      </c>
      <c r="C229" t="s">
        <v>628</v>
      </c>
      <c r="D229" t="s">
        <v>627</v>
      </c>
      <c r="E229" t="s">
        <v>477</v>
      </c>
      <c r="F229" t="s">
        <v>629</v>
      </c>
      <c r="G229" t="s">
        <v>80</v>
      </c>
      <c r="H229" t="s">
        <v>10</v>
      </c>
      <c r="I229">
        <v>0</v>
      </c>
      <c r="J229" t="s">
        <v>654</v>
      </c>
      <c r="K229" s="9">
        <v>7.1</v>
      </c>
      <c r="L229" s="9">
        <v>2.67</v>
      </c>
      <c r="M229" s="9">
        <v>2.46</v>
      </c>
      <c r="N229" t="s">
        <v>14</v>
      </c>
      <c r="O229" s="9">
        <v>1.17</v>
      </c>
      <c r="P229" s="9">
        <v>1.11</v>
      </c>
      <c r="Q229" s="9">
        <v>6.82</v>
      </c>
      <c r="R229" t="s">
        <v>59</v>
      </c>
      <c r="S229" s="7">
        <v>65.2</v>
      </c>
      <c r="V229" s="10" t="s">
        <v>655</v>
      </c>
      <c r="X229" s="10" t="s">
        <v>656</v>
      </c>
      <c r="Y229" s="10" t="s">
        <v>657</v>
      </c>
      <c r="Z229" t="s">
        <v>56</v>
      </c>
    </row>
    <row r="230" spans="1:26">
      <c r="A230">
        <v>8</v>
      </c>
      <c r="B230" t="s">
        <v>627</v>
      </c>
      <c r="C230" t="s">
        <v>628</v>
      </c>
      <c r="D230" t="s">
        <v>627</v>
      </c>
      <c r="E230" t="s">
        <v>477</v>
      </c>
      <c r="F230" t="s">
        <v>629</v>
      </c>
      <c r="G230" t="s">
        <v>85</v>
      </c>
      <c r="H230" t="s">
        <v>10</v>
      </c>
      <c r="I230">
        <v>0</v>
      </c>
      <c r="J230" t="s">
        <v>658</v>
      </c>
      <c r="K230" s="9">
        <v>7.64</v>
      </c>
      <c r="L230" s="9">
        <v>2.97</v>
      </c>
      <c r="M230" s="9">
        <v>3</v>
      </c>
      <c r="N230" t="s">
        <v>14</v>
      </c>
      <c r="O230" s="9">
        <v>1.32</v>
      </c>
      <c r="P230" s="9">
        <v>1.22</v>
      </c>
      <c r="Q230" s="9">
        <v>7.42</v>
      </c>
      <c r="R230" t="s">
        <v>59</v>
      </c>
      <c r="S230" s="7">
        <v>65.40000000000001</v>
      </c>
      <c r="V230" s="10" t="s">
        <v>659</v>
      </c>
      <c r="X230" s="10" t="s">
        <v>660</v>
      </c>
      <c r="Y230" s="10" t="s">
        <v>661</v>
      </c>
      <c r="Z230" t="s">
        <v>56</v>
      </c>
    </row>
    <row r="231" spans="1:26">
      <c r="A231">
        <v>9</v>
      </c>
      <c r="B231" t="s">
        <v>627</v>
      </c>
      <c r="C231" t="s">
        <v>628</v>
      </c>
      <c r="D231" t="s">
        <v>627</v>
      </c>
      <c r="E231" t="s">
        <v>477</v>
      </c>
      <c r="F231" t="s">
        <v>629</v>
      </c>
      <c r="G231" t="s">
        <v>89</v>
      </c>
      <c r="H231" t="s">
        <v>10</v>
      </c>
      <c r="I231">
        <v>0</v>
      </c>
      <c r="J231" t="s">
        <v>662</v>
      </c>
      <c r="K231" s="9">
        <v>8.289999999999999</v>
      </c>
      <c r="L231" s="9">
        <v>3.07</v>
      </c>
      <c r="M231" s="9">
        <v>1.62</v>
      </c>
      <c r="N231" t="s">
        <v>14</v>
      </c>
      <c r="O231" s="9">
        <v>1.36</v>
      </c>
      <c r="P231" s="9">
        <v>1.29</v>
      </c>
      <c r="Q231" s="9">
        <v>8.109999999999999</v>
      </c>
      <c r="R231" t="s">
        <v>59</v>
      </c>
      <c r="S231" s="7">
        <v>65.5</v>
      </c>
      <c r="V231" s="10" t="s">
        <v>663</v>
      </c>
      <c r="X231" s="10" t="s">
        <v>664</v>
      </c>
      <c r="Y231" s="10" t="s">
        <v>665</v>
      </c>
      <c r="Z231" t="s">
        <v>56</v>
      </c>
    </row>
    <row r="232" spans="1:26">
      <c r="A232">
        <v>10</v>
      </c>
      <c r="B232" t="s">
        <v>627</v>
      </c>
      <c r="C232" t="s">
        <v>628</v>
      </c>
      <c r="D232" t="s">
        <v>627</v>
      </c>
      <c r="E232" t="s">
        <v>477</v>
      </c>
      <c r="F232" t="s">
        <v>629</v>
      </c>
      <c r="G232" t="s">
        <v>93</v>
      </c>
      <c r="H232" t="s">
        <v>10</v>
      </c>
      <c r="I232">
        <v>0</v>
      </c>
      <c r="J232" t="s">
        <v>666</v>
      </c>
      <c r="K232" s="9">
        <v>6.7</v>
      </c>
      <c r="L232" s="9">
        <v>1.33</v>
      </c>
      <c r="M232" s="9">
        <v>0.66</v>
      </c>
      <c r="N232" t="s">
        <v>14</v>
      </c>
      <c r="O232" s="9">
        <v>0.51</v>
      </c>
      <c r="P232" s="9">
        <v>0.53</v>
      </c>
      <c r="Q232" s="9">
        <v>8.1</v>
      </c>
      <c r="R232" t="s">
        <v>52</v>
      </c>
      <c r="S232" s="7">
        <v>43.5</v>
      </c>
      <c r="V232" s="10" t="s">
        <v>667</v>
      </c>
      <c r="X232" s="10" t="s">
        <v>668</v>
      </c>
      <c r="Y232" s="10" t="s">
        <v>669</v>
      </c>
      <c r="Z232" t="s">
        <v>56</v>
      </c>
    </row>
    <row r="233" spans="1:26">
      <c r="A233">
        <v>11</v>
      </c>
      <c r="B233" t="s">
        <v>627</v>
      </c>
      <c r="C233" t="s">
        <v>628</v>
      </c>
      <c r="D233" t="s">
        <v>627</v>
      </c>
      <c r="E233" t="s">
        <v>477</v>
      </c>
      <c r="F233" t="s">
        <v>629</v>
      </c>
      <c r="G233" t="s">
        <v>98</v>
      </c>
      <c r="H233" t="s">
        <v>10</v>
      </c>
      <c r="I233">
        <v>0</v>
      </c>
      <c r="J233" t="s">
        <v>670</v>
      </c>
      <c r="K233" s="9">
        <v>5.93</v>
      </c>
      <c r="L233" s="9">
        <v>0.6</v>
      </c>
      <c r="M233" s="9">
        <v>0.68</v>
      </c>
      <c r="N233" t="s">
        <v>14</v>
      </c>
      <c r="O233" s="9">
        <v>0.58</v>
      </c>
      <c r="P233" s="9">
        <v>0.71</v>
      </c>
      <c r="Q233" s="9">
        <v>5.81</v>
      </c>
      <c r="R233" t="s">
        <v>52</v>
      </c>
      <c r="S233" s="7">
        <v>53.6</v>
      </c>
      <c r="V233" s="10" t="s">
        <v>671</v>
      </c>
      <c r="X233" s="10" t="s">
        <v>672</v>
      </c>
      <c r="Y233" s="10" t="s">
        <v>673</v>
      </c>
      <c r="Z233" t="s">
        <v>56</v>
      </c>
    </row>
    <row r="234" spans="1:26">
      <c r="A234">
        <v>12</v>
      </c>
      <c r="B234" t="s">
        <v>627</v>
      </c>
      <c r="C234" t="s">
        <v>628</v>
      </c>
      <c r="D234" t="s">
        <v>627</v>
      </c>
      <c r="E234" t="s">
        <v>477</v>
      </c>
      <c r="F234" t="s">
        <v>629</v>
      </c>
      <c r="G234" t="s">
        <v>103</v>
      </c>
      <c r="H234" t="s">
        <v>10</v>
      </c>
      <c r="I234">
        <v>0</v>
      </c>
      <c r="J234" t="s">
        <v>674</v>
      </c>
      <c r="K234" s="9">
        <v>6.05</v>
      </c>
      <c r="L234" s="9">
        <v>1.26</v>
      </c>
      <c r="M234" s="9">
        <v>1.41</v>
      </c>
      <c r="N234" t="s">
        <v>14</v>
      </c>
      <c r="O234" s="9">
        <v>0.88</v>
      </c>
      <c r="P234" s="9">
        <v>0.8100000000000001</v>
      </c>
      <c r="Q234" s="9">
        <v>6</v>
      </c>
      <c r="R234" t="s">
        <v>59</v>
      </c>
      <c r="S234" s="7">
        <v>63.3</v>
      </c>
      <c r="V234" s="10" t="s">
        <v>675</v>
      </c>
      <c r="X234" s="10" t="s">
        <v>676</v>
      </c>
      <c r="Y234" s="10" t="s">
        <v>677</v>
      </c>
      <c r="Z234" t="s">
        <v>56</v>
      </c>
    </row>
    <row r="235" spans="1:26">
      <c r="A235">
        <v>13</v>
      </c>
      <c r="B235" t="s">
        <v>627</v>
      </c>
      <c r="C235" t="s">
        <v>628</v>
      </c>
      <c r="D235" t="s">
        <v>627</v>
      </c>
      <c r="E235" t="s">
        <v>477</v>
      </c>
      <c r="F235" t="s">
        <v>629</v>
      </c>
      <c r="G235" t="s">
        <v>107</v>
      </c>
      <c r="H235" t="s">
        <v>10</v>
      </c>
      <c r="I235">
        <v>0</v>
      </c>
      <c r="J235" t="s">
        <v>678</v>
      </c>
      <c r="K235" s="9">
        <v>7.19</v>
      </c>
      <c r="L235" s="9">
        <v>2.14</v>
      </c>
      <c r="M235" s="9">
        <v>2.04</v>
      </c>
      <c r="N235" t="s">
        <v>14</v>
      </c>
      <c r="O235" s="9">
        <v>1.09</v>
      </c>
      <c r="P235" s="9">
        <v>0.92</v>
      </c>
      <c r="Q235" s="9">
        <v>6.52</v>
      </c>
      <c r="R235" t="s">
        <v>59</v>
      </c>
      <c r="S235" s="7">
        <v>64.59999999999999</v>
      </c>
      <c r="V235" s="10" t="s">
        <v>679</v>
      </c>
      <c r="X235" s="10" t="s">
        <v>680</v>
      </c>
      <c r="Y235" s="10" t="s">
        <v>681</v>
      </c>
      <c r="Z235" t="s">
        <v>56</v>
      </c>
    </row>
    <row r="236" spans="1:26">
      <c r="A236">
        <v>14</v>
      </c>
      <c r="B236" t="s">
        <v>627</v>
      </c>
      <c r="C236" t="s">
        <v>628</v>
      </c>
      <c r="D236" t="s">
        <v>627</v>
      </c>
      <c r="E236" t="s">
        <v>477</v>
      </c>
      <c r="F236" t="s">
        <v>629</v>
      </c>
      <c r="G236" t="s">
        <v>112</v>
      </c>
      <c r="H236" t="s">
        <v>10</v>
      </c>
      <c r="I236">
        <v>0</v>
      </c>
      <c r="J236" t="s">
        <v>682</v>
      </c>
      <c r="K236" s="9">
        <v>13.51</v>
      </c>
      <c r="L236" s="9">
        <v>6.8</v>
      </c>
      <c r="M236" s="9">
        <v>6.19</v>
      </c>
      <c r="N236" t="s">
        <v>14</v>
      </c>
      <c r="O236" s="9">
        <v>2.7</v>
      </c>
      <c r="P236" s="9">
        <v>2.08</v>
      </c>
      <c r="Q236" s="9">
        <v>11.04</v>
      </c>
      <c r="R236" t="s">
        <v>59</v>
      </c>
      <c r="S236" s="7">
        <v>70.09999999999999</v>
      </c>
      <c r="V236" s="10" t="s">
        <v>683</v>
      </c>
      <c r="X236" s="10" t="s">
        <v>684</v>
      </c>
      <c r="Y236" s="10" t="s">
        <v>685</v>
      </c>
      <c r="Z236" t="s">
        <v>56</v>
      </c>
    </row>
    <row r="237" spans="1:26">
      <c r="A237">
        <v>15</v>
      </c>
      <c r="B237" t="s">
        <v>627</v>
      </c>
      <c r="C237" t="s">
        <v>628</v>
      </c>
      <c r="D237" t="s">
        <v>627</v>
      </c>
      <c r="E237" t="s">
        <v>477</v>
      </c>
      <c r="F237" t="s">
        <v>629</v>
      </c>
      <c r="G237" t="s">
        <v>116</v>
      </c>
      <c r="H237" t="s">
        <v>10</v>
      </c>
      <c r="I237">
        <v>0</v>
      </c>
      <c r="J237" t="s">
        <v>686</v>
      </c>
      <c r="K237" s="9">
        <v>18.12</v>
      </c>
      <c r="L237" s="9">
        <v>10.42</v>
      </c>
      <c r="M237" s="9">
        <v>9.24</v>
      </c>
      <c r="N237" t="s">
        <v>14</v>
      </c>
      <c r="O237" s="9">
        <v>4.02</v>
      </c>
      <c r="P237" s="9">
        <v>3.37</v>
      </c>
      <c r="Q237" s="9">
        <v>16.11</v>
      </c>
      <c r="R237" t="s">
        <v>59</v>
      </c>
      <c r="S237" s="7">
        <v>74</v>
      </c>
      <c r="V237" s="10" t="s">
        <v>687</v>
      </c>
      <c r="X237" s="10" t="s">
        <v>688</v>
      </c>
      <c r="Y237" s="10" t="s">
        <v>689</v>
      </c>
      <c r="Z237" t="s">
        <v>56</v>
      </c>
    </row>
    <row r="238" spans="1:26">
      <c r="A238">
        <v>16</v>
      </c>
      <c r="B238" t="s">
        <v>627</v>
      </c>
      <c r="C238" t="s">
        <v>628</v>
      </c>
      <c r="D238" t="s">
        <v>627</v>
      </c>
      <c r="E238" t="s">
        <v>477</v>
      </c>
      <c r="F238" t="s">
        <v>629</v>
      </c>
      <c r="G238" t="s">
        <v>120</v>
      </c>
      <c r="H238" t="s">
        <v>10</v>
      </c>
      <c r="I238">
        <v>0</v>
      </c>
      <c r="J238" t="s">
        <v>690</v>
      </c>
      <c r="K238" s="9">
        <v>22.1</v>
      </c>
      <c r="L238" s="9">
        <v>13.62</v>
      </c>
      <c r="M238" s="9">
        <v>12.29</v>
      </c>
      <c r="N238" t="s">
        <v>14</v>
      </c>
      <c r="O238" s="9">
        <v>5.16</v>
      </c>
      <c r="P238" s="9">
        <v>4.64</v>
      </c>
      <c r="Q238" s="9">
        <v>20.41</v>
      </c>
      <c r="R238" t="s">
        <v>59</v>
      </c>
      <c r="S238" s="7">
        <v>76</v>
      </c>
      <c r="V238" s="10" t="s">
        <v>691</v>
      </c>
      <c r="X238" s="10" t="s">
        <v>692</v>
      </c>
      <c r="Y238" s="10" t="s">
        <v>693</v>
      </c>
      <c r="Z238" t="s">
        <v>56</v>
      </c>
    </row>
    <row r="239" spans="1:26">
      <c r="A239">
        <v>17</v>
      </c>
      <c r="B239" t="s">
        <v>627</v>
      </c>
      <c r="C239" t="s">
        <v>628</v>
      </c>
      <c r="D239" t="s">
        <v>627</v>
      </c>
      <c r="E239" t="s">
        <v>477</v>
      </c>
      <c r="F239" t="s">
        <v>629</v>
      </c>
      <c r="G239" t="s">
        <v>124</v>
      </c>
      <c r="H239" t="s">
        <v>10</v>
      </c>
      <c r="I239">
        <v>0</v>
      </c>
      <c r="J239" t="s">
        <v>694</v>
      </c>
      <c r="K239" s="9">
        <v>26.04</v>
      </c>
      <c r="L239" s="9">
        <v>16.91</v>
      </c>
      <c r="M239" s="9">
        <v>14.88</v>
      </c>
      <c r="N239" t="s">
        <v>14</v>
      </c>
      <c r="O239" s="9">
        <v>6.12</v>
      </c>
      <c r="P239" s="9">
        <v>5.59</v>
      </c>
      <c r="Q239" s="9">
        <v>24.65</v>
      </c>
      <c r="R239" t="s">
        <v>59</v>
      </c>
      <c r="S239" s="7">
        <v>78.40000000000001</v>
      </c>
      <c r="V239" s="10" t="s">
        <v>695</v>
      </c>
      <c r="X239" s="10" t="s">
        <v>696</v>
      </c>
      <c r="Y239" s="10" t="s">
        <v>697</v>
      </c>
      <c r="Z239" t="s">
        <v>56</v>
      </c>
    </row>
    <row r="240" spans="1:26">
      <c r="A240">
        <v>18</v>
      </c>
      <c r="B240" t="s">
        <v>627</v>
      </c>
      <c r="C240" t="s">
        <v>628</v>
      </c>
      <c r="D240" t="s">
        <v>627</v>
      </c>
      <c r="E240" t="s">
        <v>477</v>
      </c>
      <c r="F240" t="s">
        <v>629</v>
      </c>
      <c r="G240" t="s">
        <v>128</v>
      </c>
      <c r="H240" t="s">
        <v>10</v>
      </c>
      <c r="I240">
        <v>0</v>
      </c>
      <c r="J240" t="s">
        <v>698</v>
      </c>
      <c r="K240" s="9">
        <v>30.04</v>
      </c>
      <c r="L240" s="9">
        <v>18.64</v>
      </c>
      <c r="M240" s="9">
        <v>16.6</v>
      </c>
      <c r="N240" t="s">
        <v>14</v>
      </c>
      <c r="O240" s="9">
        <v>0.68</v>
      </c>
      <c r="P240" s="9">
        <v>0.64</v>
      </c>
      <c r="Q240" s="9">
        <v>28.7</v>
      </c>
      <c r="R240" t="s">
        <v>59</v>
      </c>
      <c r="S240" s="7">
        <v>75.09999999999999</v>
      </c>
      <c r="V240" s="10" t="s">
        <v>699</v>
      </c>
      <c r="X240" s="10" t="s">
        <v>700</v>
      </c>
      <c r="Y240" s="10" t="s">
        <v>701</v>
      </c>
      <c r="Z240" t="s">
        <v>56</v>
      </c>
    </row>
    <row r="241" spans="1:26">
      <c r="A241">
        <v>19</v>
      </c>
      <c r="B241" t="s">
        <v>627</v>
      </c>
      <c r="C241" t="s">
        <v>628</v>
      </c>
      <c r="D241" t="s">
        <v>627</v>
      </c>
      <c r="E241" t="s">
        <v>477</v>
      </c>
      <c r="F241" t="s">
        <v>629</v>
      </c>
      <c r="G241" t="s">
        <v>133</v>
      </c>
      <c r="H241" t="s">
        <v>10</v>
      </c>
      <c r="I241">
        <v>0</v>
      </c>
      <c r="J241" t="s">
        <v>702</v>
      </c>
      <c r="K241" s="9">
        <v>35.08</v>
      </c>
      <c r="L241" s="9">
        <v>21.87</v>
      </c>
      <c r="M241" s="9">
        <v>19.31</v>
      </c>
      <c r="N241" t="s">
        <v>14</v>
      </c>
      <c r="O241" s="9">
        <v>0.8100000000000001</v>
      </c>
      <c r="P241" s="9">
        <v>0.75</v>
      </c>
      <c r="Q241" s="9">
        <v>33.16</v>
      </c>
      <c r="R241" t="s">
        <v>59</v>
      </c>
      <c r="S241" s="7">
        <v>74.59999999999999</v>
      </c>
      <c r="V241" s="10" t="s">
        <v>699</v>
      </c>
      <c r="X241" s="10" t="s">
        <v>703</v>
      </c>
      <c r="Y241" s="10" t="s">
        <v>704</v>
      </c>
      <c r="Z241" t="s">
        <v>56</v>
      </c>
    </row>
    <row r="242" spans="1:26">
      <c r="A242">
        <v>20</v>
      </c>
      <c r="B242" t="s">
        <v>627</v>
      </c>
      <c r="C242" t="s">
        <v>628</v>
      </c>
      <c r="D242" t="s">
        <v>627</v>
      </c>
      <c r="E242" t="s">
        <v>477</v>
      </c>
      <c r="F242" t="s">
        <v>629</v>
      </c>
      <c r="G242" t="s">
        <v>137</v>
      </c>
      <c r="H242" t="s">
        <v>10</v>
      </c>
      <c r="I242">
        <v>0</v>
      </c>
      <c r="J242" t="s">
        <v>705</v>
      </c>
      <c r="K242" s="9">
        <v>39.33</v>
      </c>
      <c r="L242" s="9">
        <v>24.35</v>
      </c>
      <c r="M242" s="9">
        <v>22.09</v>
      </c>
      <c r="N242" t="s">
        <v>14</v>
      </c>
      <c r="O242" s="9">
        <v>0.89</v>
      </c>
      <c r="P242" s="9">
        <v>0.84</v>
      </c>
      <c r="Q242" s="9">
        <v>38.05</v>
      </c>
      <c r="R242" t="s">
        <v>59</v>
      </c>
      <c r="S242" s="7">
        <v>73</v>
      </c>
      <c r="V242" s="10" t="s">
        <v>706</v>
      </c>
      <c r="X242" s="10" t="s">
        <v>707</v>
      </c>
      <c r="Y242" s="10" t="s">
        <v>708</v>
      </c>
      <c r="Z242" t="s">
        <v>56</v>
      </c>
    </row>
    <row r="243" spans="1:26">
      <c r="A243">
        <v>21</v>
      </c>
      <c r="B243" t="s">
        <v>627</v>
      </c>
      <c r="C243" t="s">
        <v>628</v>
      </c>
      <c r="D243" t="s">
        <v>627</v>
      </c>
      <c r="E243" t="s">
        <v>477</v>
      </c>
      <c r="F243" t="s">
        <v>629</v>
      </c>
      <c r="G243" t="s">
        <v>141</v>
      </c>
      <c r="H243" t="s">
        <v>10</v>
      </c>
      <c r="I243">
        <v>0</v>
      </c>
      <c r="J243" t="s">
        <v>709</v>
      </c>
      <c r="K243" s="9">
        <v>44.06</v>
      </c>
      <c r="L243" s="9">
        <v>29.29</v>
      </c>
      <c r="M243" s="9">
        <v>24.78</v>
      </c>
      <c r="N243" t="s">
        <v>14</v>
      </c>
      <c r="O243" s="9">
        <v>1.09</v>
      </c>
      <c r="P243" s="9">
        <v>1</v>
      </c>
      <c r="Q243" s="9">
        <v>43.28</v>
      </c>
      <c r="R243" t="s">
        <v>59</v>
      </c>
      <c r="S243" s="7">
        <v>73.5</v>
      </c>
      <c r="V243" s="10" t="s">
        <v>710</v>
      </c>
      <c r="X243" s="10" t="s">
        <v>711</v>
      </c>
      <c r="Y243" s="10" t="s">
        <v>712</v>
      </c>
      <c r="Z243" t="s">
        <v>56</v>
      </c>
    </row>
    <row r="244" spans="1:26">
      <c r="A244">
        <v>22</v>
      </c>
      <c r="B244" t="s">
        <v>627</v>
      </c>
      <c r="C244" t="s">
        <v>628</v>
      </c>
      <c r="D244" t="s">
        <v>627</v>
      </c>
      <c r="E244" t="s">
        <v>477</v>
      </c>
      <c r="F244" t="s">
        <v>629</v>
      </c>
      <c r="G244" t="s">
        <v>146</v>
      </c>
      <c r="H244" t="s">
        <v>10</v>
      </c>
      <c r="I244">
        <v>0</v>
      </c>
      <c r="J244" t="s">
        <v>713</v>
      </c>
      <c r="K244" s="9">
        <v>46.743</v>
      </c>
      <c r="L244" s="9">
        <v>28.44</v>
      </c>
      <c r="M244" s="9">
        <v>26.422</v>
      </c>
      <c r="N244" t="s">
        <v>14</v>
      </c>
      <c r="O244" s="9">
        <v>1.08</v>
      </c>
      <c r="P244" s="9">
        <v>1.14</v>
      </c>
      <c r="Q244" s="9">
        <v>49.93</v>
      </c>
      <c r="R244" t="s">
        <v>59</v>
      </c>
      <c r="S244" s="7">
        <v>72.40000000000001</v>
      </c>
      <c r="T244" s="7">
        <v>60.8</v>
      </c>
      <c r="V244" s="10" t="s">
        <v>714</v>
      </c>
      <c r="X244" s="10" t="s">
        <v>715</v>
      </c>
      <c r="Y244" s="10" t="s">
        <v>716</v>
      </c>
      <c r="Z244" t="s">
        <v>56</v>
      </c>
    </row>
    <row r="245" spans="1:26">
      <c r="A245">
        <v>23</v>
      </c>
      <c r="B245" t="s">
        <v>627</v>
      </c>
      <c r="C245" t="s">
        <v>628</v>
      </c>
      <c r="D245" t="s">
        <v>627</v>
      </c>
      <c r="E245" t="s">
        <v>477</v>
      </c>
      <c r="F245" t="s">
        <v>629</v>
      </c>
      <c r="G245" t="s">
        <v>150</v>
      </c>
      <c r="H245" t="s">
        <v>10</v>
      </c>
      <c r="I245">
        <v>0</v>
      </c>
      <c r="J245" t="s">
        <v>717</v>
      </c>
      <c r="K245" s="9">
        <v>57</v>
      </c>
      <c r="L245" s="9">
        <v>37.5</v>
      </c>
      <c r="M245" s="9">
        <v>32</v>
      </c>
      <c r="N245" t="s">
        <v>14</v>
      </c>
      <c r="O245" s="9">
        <v>1.38</v>
      </c>
      <c r="P245" s="9">
        <v>1.3</v>
      </c>
      <c r="Q245" s="9">
        <v>55.5</v>
      </c>
      <c r="R245" t="s">
        <v>59</v>
      </c>
      <c r="S245" s="7">
        <v>74</v>
      </c>
      <c r="V245" s="10" t="s">
        <v>718</v>
      </c>
      <c r="X245" s="10" t="s">
        <v>719</v>
      </c>
      <c r="Y245" s="10" t="s">
        <v>720</v>
      </c>
      <c r="Z245" t="s">
        <v>56</v>
      </c>
    </row>
    <row r="246" spans="1:26">
      <c r="A246">
        <v>24</v>
      </c>
      <c r="B246" t="s">
        <v>627</v>
      </c>
      <c r="C246" t="s">
        <v>628</v>
      </c>
      <c r="D246" t="s">
        <v>627</v>
      </c>
      <c r="E246" t="s">
        <v>477</v>
      </c>
      <c r="F246" t="s">
        <v>629</v>
      </c>
      <c r="G246" t="s">
        <v>155</v>
      </c>
      <c r="H246" t="s">
        <v>10</v>
      </c>
      <c r="I246">
        <v>0</v>
      </c>
      <c r="J246" t="s">
        <v>721</v>
      </c>
      <c r="K246" s="9">
        <v>96.221</v>
      </c>
      <c r="L246" s="9">
        <v>63.734</v>
      </c>
      <c r="M246" s="9">
        <v>59.688</v>
      </c>
      <c r="N246" t="s">
        <v>14</v>
      </c>
      <c r="O246" s="9">
        <v>2.46</v>
      </c>
      <c r="P246" s="9">
        <v>1.42</v>
      </c>
      <c r="Q246" s="9">
        <v>60.5</v>
      </c>
      <c r="R246" t="s">
        <v>59</v>
      </c>
      <c r="S246" s="7">
        <v>75</v>
      </c>
      <c r="T246" s="7">
        <v>66.2</v>
      </c>
      <c r="V246" s="10" t="s">
        <v>722</v>
      </c>
      <c r="X246" s="10" t="s">
        <v>723</v>
      </c>
      <c r="Y246" s="10" t="s">
        <v>724</v>
      </c>
      <c r="Z246" t="s">
        <v>56</v>
      </c>
    </row>
    <row r="247" spans="1:26">
      <c r="A247">
        <v>25</v>
      </c>
      <c r="B247" t="s">
        <v>627</v>
      </c>
      <c r="C247" t="s">
        <v>628</v>
      </c>
      <c r="D247" t="s">
        <v>627</v>
      </c>
      <c r="E247" t="s">
        <v>477</v>
      </c>
      <c r="F247" t="s">
        <v>629</v>
      </c>
      <c r="G247" t="s">
        <v>159</v>
      </c>
      <c r="H247" t="s">
        <v>11</v>
      </c>
      <c r="I247">
        <v>1</v>
      </c>
      <c r="K247" s="9">
        <v>67</v>
      </c>
      <c r="L247" s="9">
        <v>44</v>
      </c>
      <c r="M247" s="9">
        <v>38</v>
      </c>
      <c r="N247" t="s">
        <v>14</v>
      </c>
      <c r="O247" s="9">
        <v>1.62</v>
      </c>
      <c r="P247" s="9">
        <v>1.55</v>
      </c>
      <c r="Q247" s="9">
        <v>65</v>
      </c>
      <c r="S247" s="7">
        <v>75</v>
      </c>
      <c r="V247" s="10" t="s">
        <v>725</v>
      </c>
      <c r="X247" s="10" t="s">
        <v>726</v>
      </c>
      <c r="Y247" s="10" t="s">
        <v>727</v>
      </c>
      <c r="Z247" t="s">
        <v>56</v>
      </c>
    </row>
    <row r="248" spans="1:26">
      <c r="A248">
        <v>26</v>
      </c>
      <c r="B248" t="s">
        <v>627</v>
      </c>
      <c r="C248" t="s">
        <v>628</v>
      </c>
      <c r="D248" t="s">
        <v>627</v>
      </c>
      <c r="E248" t="s">
        <v>477</v>
      </c>
      <c r="F248" t="s">
        <v>629</v>
      </c>
      <c r="G248" t="s">
        <v>163</v>
      </c>
      <c r="H248" t="s">
        <v>11</v>
      </c>
      <c r="I248">
        <v>1</v>
      </c>
      <c r="K248" s="9">
        <v>72</v>
      </c>
      <c r="L248" s="9">
        <v>47.5</v>
      </c>
      <c r="M248" s="9">
        <v>40.5</v>
      </c>
      <c r="N248" t="s">
        <v>14</v>
      </c>
      <c r="O248" s="9">
        <v>1.73</v>
      </c>
      <c r="P248" s="9">
        <v>1.65</v>
      </c>
      <c r="Q248" s="9">
        <v>70</v>
      </c>
      <c r="S248" s="7">
        <v>75.5</v>
      </c>
      <c r="V248" s="10" t="s">
        <v>728</v>
      </c>
      <c r="X248" s="10" t="s">
        <v>729</v>
      </c>
      <c r="Y248" s="10" t="s">
        <v>727</v>
      </c>
      <c r="Z248" t="s">
        <v>56</v>
      </c>
    </row>
    <row r="249" spans="1:26">
      <c r="A249">
        <v>209</v>
      </c>
      <c r="B249" t="s">
        <v>730</v>
      </c>
      <c r="C249" t="s">
        <v>731</v>
      </c>
      <c r="D249" t="s">
        <v>732</v>
      </c>
      <c r="E249" t="s">
        <v>733</v>
      </c>
      <c r="F249" t="s">
        <v>734</v>
      </c>
      <c r="G249" t="s">
        <v>50</v>
      </c>
      <c r="H249" t="s">
        <v>10</v>
      </c>
      <c r="I249">
        <v>0</v>
      </c>
      <c r="J249" t="s">
        <v>735</v>
      </c>
      <c r="K249" s="9">
        <v>1.152616</v>
      </c>
      <c r="L249" s="9">
        <v>0.08407299999999999</v>
      </c>
      <c r="M249" s="9">
        <v>0.063889</v>
      </c>
      <c r="N249" t="s">
        <v>14</v>
      </c>
      <c r="O249" s="9">
        <v>0.26</v>
      </c>
      <c r="S249" s="7">
        <v>16.39</v>
      </c>
      <c r="T249" s="7">
        <v>7.29</v>
      </c>
      <c r="X249" s="10" t="s">
        <v>428</v>
      </c>
      <c r="Y249" s="11" t="s">
        <v>736</v>
      </c>
      <c r="Z249" t="s">
        <v>522</v>
      </c>
    </row>
    <row r="250" spans="1:26">
      <c r="A250">
        <v>210</v>
      </c>
      <c r="B250" t="s">
        <v>730</v>
      </c>
      <c r="C250" t="s">
        <v>731</v>
      </c>
      <c r="D250" t="s">
        <v>732</v>
      </c>
      <c r="E250" t="s">
        <v>733</v>
      </c>
      <c r="F250" t="s">
        <v>734</v>
      </c>
      <c r="G250" t="s">
        <v>57</v>
      </c>
      <c r="H250" t="s">
        <v>10</v>
      </c>
      <c r="I250">
        <v>0</v>
      </c>
      <c r="J250" t="s">
        <v>737</v>
      </c>
      <c r="K250" s="9">
        <v>1.172909</v>
      </c>
      <c r="L250" s="9">
        <v>0.086524</v>
      </c>
      <c r="M250" s="9">
        <v>0.055424</v>
      </c>
      <c r="N250" t="s">
        <v>14</v>
      </c>
      <c r="O250" s="9">
        <v>0.23</v>
      </c>
      <c r="S250" s="7">
        <v>16.4</v>
      </c>
      <c r="T250" s="7">
        <v>7.38</v>
      </c>
      <c r="X250" s="10" t="s">
        <v>428</v>
      </c>
      <c r="Y250" s="11" t="s">
        <v>738</v>
      </c>
      <c r="Z250" t="s">
        <v>522</v>
      </c>
    </row>
    <row r="251" spans="1:26">
      <c r="A251">
        <v>211</v>
      </c>
      <c r="B251" t="s">
        <v>730</v>
      </c>
      <c r="C251" t="s">
        <v>731</v>
      </c>
      <c r="D251" t="s">
        <v>732</v>
      </c>
      <c r="E251" t="s">
        <v>733</v>
      </c>
      <c r="F251" t="s">
        <v>734</v>
      </c>
      <c r="G251" t="s">
        <v>62</v>
      </c>
      <c r="H251" t="s">
        <v>10</v>
      </c>
      <c r="I251">
        <v>0</v>
      </c>
      <c r="J251" t="s">
        <v>739</v>
      </c>
      <c r="K251" s="9">
        <v>1.354023</v>
      </c>
      <c r="L251" s="9">
        <v>0.127469</v>
      </c>
      <c r="M251" s="9">
        <v>0.092151</v>
      </c>
      <c r="N251" t="s">
        <v>14</v>
      </c>
      <c r="O251" s="9">
        <v>0.38</v>
      </c>
      <c r="S251" s="7">
        <v>17.81</v>
      </c>
      <c r="T251" s="7">
        <v>9.41</v>
      </c>
      <c r="X251" s="10" t="s">
        <v>428</v>
      </c>
      <c r="Y251" s="11" t="s">
        <v>740</v>
      </c>
      <c r="Z251" t="s">
        <v>522</v>
      </c>
    </row>
    <row r="252" spans="1:26">
      <c r="A252">
        <v>212</v>
      </c>
      <c r="B252" t="s">
        <v>730</v>
      </c>
      <c r="C252" t="s">
        <v>731</v>
      </c>
      <c r="D252" t="s">
        <v>732</v>
      </c>
      <c r="E252" t="s">
        <v>733</v>
      </c>
      <c r="F252" t="s">
        <v>734</v>
      </c>
      <c r="G252" t="s">
        <v>66</v>
      </c>
      <c r="H252" t="s">
        <v>10</v>
      </c>
      <c r="I252">
        <v>0</v>
      </c>
      <c r="J252" t="s">
        <v>674</v>
      </c>
      <c r="K252" s="9">
        <v>1.371041</v>
      </c>
      <c r="L252" s="9">
        <v>0.159179</v>
      </c>
      <c r="M252" s="9">
        <v>0.126674</v>
      </c>
      <c r="N252" t="s">
        <v>14</v>
      </c>
      <c r="S252" s="7">
        <v>20.31</v>
      </c>
      <c r="T252" s="7">
        <v>11.61</v>
      </c>
      <c r="X252" s="10" t="s">
        <v>483</v>
      </c>
      <c r="Y252" s="11" t="s">
        <v>741</v>
      </c>
      <c r="Z252" t="s">
        <v>522</v>
      </c>
    </row>
    <row r="253" spans="1:26">
      <c r="A253">
        <v>213</v>
      </c>
      <c r="B253" t="s">
        <v>730</v>
      </c>
      <c r="C253" t="s">
        <v>731</v>
      </c>
      <c r="D253" t="s">
        <v>732</v>
      </c>
      <c r="E253" t="s">
        <v>733</v>
      </c>
      <c r="F253" t="s">
        <v>734</v>
      </c>
      <c r="G253" t="s">
        <v>71</v>
      </c>
      <c r="H253" t="s">
        <v>10</v>
      </c>
      <c r="I253">
        <v>0</v>
      </c>
      <c r="J253" t="s">
        <v>742</v>
      </c>
      <c r="K253" s="9">
        <v>1.32615</v>
      </c>
      <c r="L253" s="9">
        <v>0.144448</v>
      </c>
      <c r="M253" s="9">
        <v>0.119809</v>
      </c>
      <c r="N253" t="s">
        <v>14</v>
      </c>
      <c r="O253" s="9">
        <v>0.49</v>
      </c>
      <c r="S253" s="7">
        <v>20.02</v>
      </c>
      <c r="T253" s="7">
        <v>10.89</v>
      </c>
      <c r="X253" s="10" t="s">
        <v>428</v>
      </c>
      <c r="Y253" s="11" t="s">
        <v>743</v>
      </c>
      <c r="Z253" t="s">
        <v>522</v>
      </c>
    </row>
    <row r="254" spans="1:26">
      <c r="A254">
        <v>214</v>
      </c>
      <c r="B254" t="s">
        <v>730</v>
      </c>
      <c r="C254" t="s">
        <v>731</v>
      </c>
      <c r="D254" t="s">
        <v>732</v>
      </c>
      <c r="E254" t="s">
        <v>733</v>
      </c>
      <c r="F254" t="s">
        <v>734</v>
      </c>
      <c r="G254" t="s">
        <v>75</v>
      </c>
      <c r="H254" t="s">
        <v>10</v>
      </c>
      <c r="I254">
        <v>0</v>
      </c>
      <c r="J254" t="s">
        <v>744</v>
      </c>
      <c r="K254" s="9">
        <v>1.406535</v>
      </c>
      <c r="L254" s="9">
        <v>0.155115</v>
      </c>
      <c r="M254" s="9">
        <v>0.125806</v>
      </c>
      <c r="N254" t="s">
        <v>14</v>
      </c>
      <c r="O254" s="9">
        <v>0.51</v>
      </c>
      <c r="S254" s="7">
        <v>19.4</v>
      </c>
      <c r="T254" s="7">
        <v>11.03</v>
      </c>
      <c r="X254" s="10" t="s">
        <v>428</v>
      </c>
      <c r="Y254" s="11" t="s">
        <v>745</v>
      </c>
      <c r="Z254" t="s">
        <v>522</v>
      </c>
    </row>
    <row r="255" spans="1:26">
      <c r="A255">
        <v>215</v>
      </c>
      <c r="B255" t="s">
        <v>730</v>
      </c>
      <c r="C255" t="s">
        <v>731</v>
      </c>
      <c r="D255" t="s">
        <v>732</v>
      </c>
      <c r="E255" t="s">
        <v>733</v>
      </c>
      <c r="F255" t="s">
        <v>734</v>
      </c>
      <c r="G255" t="s">
        <v>80</v>
      </c>
      <c r="H255" t="s">
        <v>10</v>
      </c>
      <c r="I255">
        <v>0</v>
      </c>
      <c r="J255" t="s">
        <v>746</v>
      </c>
      <c r="K255" s="9">
        <v>1.681</v>
      </c>
      <c r="L255" s="9">
        <v>0.211461</v>
      </c>
      <c r="M255" s="9">
        <v>0.180854</v>
      </c>
      <c r="N255" t="s">
        <v>14</v>
      </c>
      <c r="O255" s="9">
        <v>0.74</v>
      </c>
      <c r="S255" s="7">
        <v>19.32</v>
      </c>
      <c r="T255" s="7">
        <v>12.58</v>
      </c>
      <c r="X255" s="10" t="s">
        <v>428</v>
      </c>
      <c r="Y255" s="11" t="s">
        <v>747</v>
      </c>
      <c r="Z255" t="s">
        <v>522</v>
      </c>
    </row>
    <row r="256" spans="1:26">
      <c r="A256">
        <v>216</v>
      </c>
      <c r="B256" t="s">
        <v>730</v>
      </c>
      <c r="C256" t="s">
        <v>731</v>
      </c>
      <c r="D256" t="s">
        <v>732</v>
      </c>
      <c r="E256" t="s">
        <v>733</v>
      </c>
      <c r="F256" t="s">
        <v>734</v>
      </c>
      <c r="G256" t="s">
        <v>85</v>
      </c>
      <c r="H256" t="s">
        <v>10</v>
      </c>
      <c r="I256">
        <v>0</v>
      </c>
      <c r="J256" t="s">
        <v>748</v>
      </c>
      <c r="K256" s="9">
        <v>1.724644</v>
      </c>
      <c r="L256" s="9">
        <v>0.252409</v>
      </c>
      <c r="M256" s="9">
        <v>0.216526</v>
      </c>
      <c r="N256" t="s">
        <v>14</v>
      </c>
      <c r="S256" s="7">
        <v>21.01</v>
      </c>
      <c r="T256" s="7">
        <v>14.64</v>
      </c>
      <c r="X256" s="10" t="s">
        <v>483</v>
      </c>
      <c r="Y256" s="11" t="s">
        <v>749</v>
      </c>
      <c r="Z256" t="s">
        <v>522</v>
      </c>
    </row>
    <row r="257" spans="1:26">
      <c r="A257">
        <v>217</v>
      </c>
      <c r="B257" t="s">
        <v>730</v>
      </c>
      <c r="C257" t="s">
        <v>731</v>
      </c>
      <c r="D257" t="s">
        <v>732</v>
      </c>
      <c r="E257" t="s">
        <v>733</v>
      </c>
      <c r="F257" t="s">
        <v>734</v>
      </c>
      <c r="G257" t="s">
        <v>89</v>
      </c>
      <c r="H257" t="s">
        <v>10</v>
      </c>
      <c r="I257">
        <v>0</v>
      </c>
      <c r="J257" t="s">
        <v>493</v>
      </c>
      <c r="K257" s="9">
        <v>1.596816</v>
      </c>
      <c r="L257" s="9">
        <v>0.210008</v>
      </c>
      <c r="M257" s="9">
        <v>0.170663</v>
      </c>
      <c r="N257" t="s">
        <v>14</v>
      </c>
      <c r="O257" s="9">
        <v>0.6899999999999999</v>
      </c>
      <c r="S257" s="7">
        <v>20.37</v>
      </c>
      <c r="T257" s="7">
        <v>13.15</v>
      </c>
      <c r="X257" s="10" t="s">
        <v>428</v>
      </c>
      <c r="Y257" s="11" t="s">
        <v>750</v>
      </c>
      <c r="Z257" t="s">
        <v>522</v>
      </c>
    </row>
    <row r="258" spans="1:26">
      <c r="A258">
        <v>218</v>
      </c>
      <c r="B258" t="s">
        <v>730</v>
      </c>
      <c r="C258" t="s">
        <v>731</v>
      </c>
      <c r="D258" t="s">
        <v>732</v>
      </c>
      <c r="E258" t="s">
        <v>733</v>
      </c>
      <c r="F258" t="s">
        <v>734</v>
      </c>
      <c r="G258" t="s">
        <v>93</v>
      </c>
      <c r="H258" t="s">
        <v>10</v>
      </c>
      <c r="I258">
        <v>0</v>
      </c>
      <c r="J258" t="s">
        <v>751</v>
      </c>
      <c r="K258" s="9">
        <v>1.504868</v>
      </c>
      <c r="L258" s="9">
        <v>0.142809</v>
      </c>
      <c r="M258" s="9">
        <v>0.124778</v>
      </c>
      <c r="N258" t="s">
        <v>14</v>
      </c>
      <c r="O258" s="9">
        <v>0.51</v>
      </c>
      <c r="S258" s="7">
        <v>16.56</v>
      </c>
      <c r="T258" s="7">
        <v>9.49</v>
      </c>
      <c r="X258" s="10" t="s">
        <v>428</v>
      </c>
      <c r="Y258" s="11" t="s">
        <v>752</v>
      </c>
      <c r="Z258" t="s">
        <v>522</v>
      </c>
    </row>
    <row r="259" spans="1:26">
      <c r="A259">
        <v>219</v>
      </c>
      <c r="B259" t="s">
        <v>730</v>
      </c>
      <c r="C259" t="s">
        <v>731</v>
      </c>
      <c r="D259" t="s">
        <v>732</v>
      </c>
      <c r="E259" t="s">
        <v>733</v>
      </c>
      <c r="F259" t="s">
        <v>734</v>
      </c>
      <c r="G259" t="s">
        <v>98</v>
      </c>
      <c r="H259" t="s">
        <v>10</v>
      </c>
      <c r="I259">
        <v>0</v>
      </c>
      <c r="J259" t="s">
        <v>497</v>
      </c>
      <c r="K259" s="9">
        <v>2.083691</v>
      </c>
      <c r="L259" s="9">
        <v>0.319287</v>
      </c>
      <c r="M259" s="9">
        <v>0.306081</v>
      </c>
      <c r="N259" t="s">
        <v>14</v>
      </c>
      <c r="O259" s="9">
        <v>1.24</v>
      </c>
      <c r="S259" s="7">
        <v>20.22</v>
      </c>
      <c r="T259" s="7">
        <v>15.32</v>
      </c>
      <c r="X259" s="10" t="s">
        <v>428</v>
      </c>
      <c r="Y259" s="11" t="s">
        <v>753</v>
      </c>
      <c r="Z259" t="s">
        <v>522</v>
      </c>
    </row>
    <row r="260" spans="1:26">
      <c r="A260">
        <v>220</v>
      </c>
      <c r="B260" t="s">
        <v>730</v>
      </c>
      <c r="C260" t="s">
        <v>731</v>
      </c>
      <c r="D260" t="s">
        <v>732</v>
      </c>
      <c r="E260" t="s">
        <v>733</v>
      </c>
      <c r="F260" t="s">
        <v>734</v>
      </c>
      <c r="G260" t="s">
        <v>103</v>
      </c>
      <c r="H260" t="s">
        <v>10</v>
      </c>
      <c r="I260">
        <v>0</v>
      </c>
      <c r="J260" t="s">
        <v>754</v>
      </c>
      <c r="K260" s="9">
        <v>1.90621</v>
      </c>
      <c r="L260" s="9">
        <v>0.225082</v>
      </c>
      <c r="M260" s="9">
        <v>0.164301</v>
      </c>
      <c r="N260" t="s">
        <v>14</v>
      </c>
      <c r="S260" s="7">
        <v>17.54</v>
      </c>
      <c r="T260" s="7">
        <v>11.81</v>
      </c>
      <c r="X260" s="10" t="s">
        <v>483</v>
      </c>
      <c r="Y260" s="11" t="s">
        <v>755</v>
      </c>
      <c r="Z260" t="s">
        <v>522</v>
      </c>
    </row>
    <row r="261" spans="1:26">
      <c r="A261">
        <v>221</v>
      </c>
      <c r="B261" t="s">
        <v>730</v>
      </c>
      <c r="C261" t="s">
        <v>731</v>
      </c>
      <c r="D261" t="s">
        <v>732</v>
      </c>
      <c r="E261" t="s">
        <v>733</v>
      </c>
      <c r="F261" t="s">
        <v>734</v>
      </c>
      <c r="G261" t="s">
        <v>107</v>
      </c>
      <c r="H261" t="s">
        <v>10</v>
      </c>
      <c r="I261">
        <v>0</v>
      </c>
      <c r="J261" t="s">
        <v>501</v>
      </c>
      <c r="K261" s="9">
        <v>1.471539</v>
      </c>
      <c r="L261" s="9">
        <v>0.068703</v>
      </c>
      <c r="M261" s="9">
        <v>0.045351</v>
      </c>
      <c r="N261" t="s">
        <v>14</v>
      </c>
      <c r="O261" s="9">
        <v>0.18</v>
      </c>
      <c r="S261" s="7">
        <v>13.21</v>
      </c>
      <c r="T261" s="7">
        <v>4.67</v>
      </c>
      <c r="X261" s="10" t="s">
        <v>428</v>
      </c>
      <c r="Y261" s="11" t="s">
        <v>756</v>
      </c>
      <c r="Z261" t="s">
        <v>522</v>
      </c>
    </row>
    <row r="262" spans="1:26">
      <c r="A262">
        <v>222</v>
      </c>
      <c r="B262" t="s">
        <v>730</v>
      </c>
      <c r="C262" t="s">
        <v>731</v>
      </c>
      <c r="D262" t="s">
        <v>732</v>
      </c>
      <c r="E262" t="s">
        <v>733</v>
      </c>
      <c r="F262" t="s">
        <v>734</v>
      </c>
      <c r="G262" t="s">
        <v>112</v>
      </c>
      <c r="H262" t="s">
        <v>10</v>
      </c>
      <c r="I262">
        <v>0</v>
      </c>
      <c r="J262" t="s">
        <v>400</v>
      </c>
      <c r="K262" s="9">
        <v>1.457922</v>
      </c>
      <c r="L262" s="9">
        <v>0.076322</v>
      </c>
      <c r="M262" s="9">
        <v>0.064286</v>
      </c>
      <c r="N262" t="s">
        <v>14</v>
      </c>
      <c r="O262" s="9">
        <v>0.26</v>
      </c>
      <c r="S262" s="7">
        <v>12.82</v>
      </c>
      <c r="T262" s="7">
        <v>5.23</v>
      </c>
      <c r="X262" s="10" t="s">
        <v>428</v>
      </c>
      <c r="Y262" s="11" t="s">
        <v>757</v>
      </c>
      <c r="Z262" t="s">
        <v>522</v>
      </c>
    </row>
    <row r="263" spans="1:26">
      <c r="A263">
        <v>223</v>
      </c>
      <c r="B263" t="s">
        <v>730</v>
      </c>
      <c r="C263" t="s">
        <v>731</v>
      </c>
      <c r="D263" t="s">
        <v>732</v>
      </c>
      <c r="E263" t="s">
        <v>733</v>
      </c>
      <c r="F263" t="s">
        <v>734</v>
      </c>
      <c r="G263" t="s">
        <v>116</v>
      </c>
      <c r="H263" t="s">
        <v>10</v>
      </c>
      <c r="I263">
        <v>0</v>
      </c>
      <c r="J263" t="s">
        <v>231</v>
      </c>
      <c r="K263" s="9">
        <v>1.821793</v>
      </c>
      <c r="L263" s="9">
        <v>0.166598</v>
      </c>
      <c r="M263" s="9">
        <v>0.132614</v>
      </c>
      <c r="N263" t="s">
        <v>14</v>
      </c>
      <c r="O263" s="9">
        <v>0.54</v>
      </c>
      <c r="S263" s="7">
        <v>15.52</v>
      </c>
      <c r="T263" s="7">
        <v>9.140000000000001</v>
      </c>
      <c r="X263" s="10" t="s">
        <v>428</v>
      </c>
      <c r="Y263" s="11" t="s">
        <v>758</v>
      </c>
      <c r="Z263" t="s">
        <v>522</v>
      </c>
    </row>
    <row r="264" spans="1:26">
      <c r="A264">
        <v>224</v>
      </c>
      <c r="B264" t="s">
        <v>730</v>
      </c>
      <c r="C264" t="s">
        <v>731</v>
      </c>
      <c r="D264" t="s">
        <v>732</v>
      </c>
      <c r="E264" t="s">
        <v>733</v>
      </c>
      <c r="F264" t="s">
        <v>734</v>
      </c>
      <c r="G264" t="s">
        <v>120</v>
      </c>
      <c r="H264" t="s">
        <v>10</v>
      </c>
      <c r="I264">
        <v>0</v>
      </c>
      <c r="J264" t="s">
        <v>759</v>
      </c>
      <c r="K264" s="9">
        <v>1.751811</v>
      </c>
      <c r="L264" s="9">
        <v>0.158664</v>
      </c>
      <c r="M264" s="9">
        <v>0.117562</v>
      </c>
      <c r="N264" t="s">
        <v>14</v>
      </c>
      <c r="S264" s="7">
        <v>15.93</v>
      </c>
      <c r="T264" s="7">
        <v>9.06</v>
      </c>
      <c r="X264" s="10" t="s">
        <v>483</v>
      </c>
      <c r="Y264" s="11" t="s">
        <v>760</v>
      </c>
      <c r="Z264" t="s">
        <v>522</v>
      </c>
    </row>
    <row r="265" spans="1:26">
      <c r="A265">
        <v>225</v>
      </c>
      <c r="B265" t="s">
        <v>730</v>
      </c>
      <c r="C265" t="s">
        <v>731</v>
      </c>
      <c r="D265" t="s">
        <v>732</v>
      </c>
      <c r="E265" t="s">
        <v>733</v>
      </c>
      <c r="F265" t="s">
        <v>734</v>
      </c>
      <c r="G265" t="s">
        <v>124</v>
      </c>
      <c r="H265" t="s">
        <v>10</v>
      </c>
      <c r="I265">
        <v>0</v>
      </c>
      <c r="J265" t="s">
        <v>761</v>
      </c>
      <c r="K265" s="9">
        <v>1.365511</v>
      </c>
      <c r="L265" s="9">
        <v>0.073126</v>
      </c>
      <c r="M265" s="9">
        <v>0.058897</v>
      </c>
      <c r="N265" t="s">
        <v>14</v>
      </c>
      <c r="O265" s="9">
        <v>0.24</v>
      </c>
      <c r="S265" s="7">
        <v>14.77</v>
      </c>
      <c r="T265" s="7">
        <v>5.36</v>
      </c>
      <c r="X265" s="10" t="s">
        <v>428</v>
      </c>
      <c r="Y265" s="11" t="s">
        <v>762</v>
      </c>
      <c r="Z265" t="s">
        <v>522</v>
      </c>
    </row>
    <row r="266" spans="1:26">
      <c r="A266">
        <v>226</v>
      </c>
      <c r="B266" t="s">
        <v>730</v>
      </c>
      <c r="C266" t="s">
        <v>731</v>
      </c>
      <c r="D266" t="s">
        <v>732</v>
      </c>
      <c r="E266" t="s">
        <v>733</v>
      </c>
      <c r="F266" t="s">
        <v>734</v>
      </c>
      <c r="G266" t="s">
        <v>128</v>
      </c>
      <c r="H266" t="s">
        <v>10</v>
      </c>
      <c r="I266">
        <v>0</v>
      </c>
      <c r="J266" t="s">
        <v>763</v>
      </c>
      <c r="K266" s="9">
        <v>1.461474</v>
      </c>
      <c r="L266" s="9">
        <v>0.081527</v>
      </c>
      <c r="M266" s="9">
        <v>0.066897</v>
      </c>
      <c r="N266" t="s">
        <v>14</v>
      </c>
      <c r="O266" s="9">
        <v>0.27</v>
      </c>
      <c r="S266" s="7">
        <v>14.53</v>
      </c>
      <c r="T266" s="7">
        <v>5.58</v>
      </c>
      <c r="X266" s="10" t="s">
        <v>428</v>
      </c>
      <c r="Y266" s="11" t="s">
        <v>764</v>
      </c>
      <c r="Z266" t="s">
        <v>522</v>
      </c>
    </row>
    <row r="267" spans="1:26">
      <c r="A267">
        <v>227</v>
      </c>
      <c r="B267" t="s">
        <v>730</v>
      </c>
      <c r="C267" t="s">
        <v>731</v>
      </c>
      <c r="D267" t="s">
        <v>732</v>
      </c>
      <c r="E267" t="s">
        <v>733</v>
      </c>
      <c r="F267" t="s">
        <v>734</v>
      </c>
      <c r="G267" t="s">
        <v>133</v>
      </c>
      <c r="H267" t="s">
        <v>10</v>
      </c>
      <c r="I267">
        <v>0</v>
      </c>
      <c r="J267" t="s">
        <v>765</v>
      </c>
      <c r="K267" s="9">
        <v>1.861589</v>
      </c>
      <c r="L267" s="9">
        <v>0.149367</v>
      </c>
      <c r="M267" s="9">
        <v>0.122569</v>
      </c>
      <c r="N267" t="s">
        <v>14</v>
      </c>
      <c r="O267" s="9">
        <v>0.49</v>
      </c>
      <c r="S267" s="7">
        <v>14.64</v>
      </c>
      <c r="T267" s="7">
        <v>8.02</v>
      </c>
      <c r="X267" s="10" t="s">
        <v>428</v>
      </c>
      <c r="Y267" s="11" t="s">
        <v>766</v>
      </c>
      <c r="Z267" t="s">
        <v>522</v>
      </c>
    </row>
    <row r="268" spans="1:26">
      <c r="A268">
        <v>228</v>
      </c>
      <c r="B268" t="s">
        <v>730</v>
      </c>
      <c r="C268" t="s">
        <v>731</v>
      </c>
      <c r="D268" t="s">
        <v>732</v>
      </c>
      <c r="E268" t="s">
        <v>733</v>
      </c>
      <c r="F268" t="s">
        <v>734</v>
      </c>
      <c r="G268" t="s">
        <v>137</v>
      </c>
      <c r="H268" t="s">
        <v>10</v>
      </c>
      <c r="I268">
        <v>0</v>
      </c>
      <c r="J268" t="s">
        <v>759</v>
      </c>
      <c r="K268" s="9">
        <v>1.629118</v>
      </c>
      <c r="L268" s="9">
        <v>0.134435</v>
      </c>
      <c r="M268" s="9">
        <v>0.105649</v>
      </c>
      <c r="N268" t="s">
        <v>14</v>
      </c>
      <c r="S268" s="7">
        <v>15.14</v>
      </c>
      <c r="T268" s="7">
        <v>8.25</v>
      </c>
      <c r="X268" s="10" t="s">
        <v>483</v>
      </c>
      <c r="Y268" s="11" t="s">
        <v>760</v>
      </c>
      <c r="Z268" t="s">
        <v>522</v>
      </c>
    </row>
    <row r="269" spans="1:26">
      <c r="A269">
        <v>229</v>
      </c>
      <c r="B269" t="s">
        <v>730</v>
      </c>
      <c r="C269" t="s">
        <v>731</v>
      </c>
      <c r="D269" t="s">
        <v>732</v>
      </c>
      <c r="E269" t="s">
        <v>733</v>
      </c>
      <c r="F269" t="s">
        <v>734</v>
      </c>
      <c r="G269" t="s">
        <v>141</v>
      </c>
      <c r="H269" t="s">
        <v>10</v>
      </c>
      <c r="I269">
        <v>0</v>
      </c>
      <c r="J269" t="s">
        <v>767</v>
      </c>
      <c r="K269" s="9">
        <v>1.321575</v>
      </c>
      <c r="L269" s="9">
        <v>0.031523</v>
      </c>
      <c r="M269" s="9">
        <v>0.021128</v>
      </c>
      <c r="N269" t="s">
        <v>14</v>
      </c>
      <c r="O269" s="9">
        <v>0.09</v>
      </c>
      <c r="S269" s="7">
        <v>11.92</v>
      </c>
      <c r="T269" s="7">
        <v>2.39</v>
      </c>
      <c r="X269" s="10" t="s">
        <v>428</v>
      </c>
      <c r="Y269" s="11" t="s">
        <v>768</v>
      </c>
      <c r="Z269" t="s">
        <v>522</v>
      </c>
    </row>
    <row r="270" spans="1:26">
      <c r="A270">
        <v>230</v>
      </c>
      <c r="B270" t="s">
        <v>730</v>
      </c>
      <c r="C270" t="s">
        <v>731</v>
      </c>
      <c r="D270" t="s">
        <v>732</v>
      </c>
      <c r="E270" t="s">
        <v>733</v>
      </c>
      <c r="F270" t="s">
        <v>734</v>
      </c>
      <c r="G270" t="s">
        <v>146</v>
      </c>
      <c r="H270" t="s">
        <v>10</v>
      </c>
      <c r="I270">
        <v>0</v>
      </c>
      <c r="J270" t="s">
        <v>763</v>
      </c>
      <c r="K270" s="9">
        <v>1.511392</v>
      </c>
      <c r="L270" s="9">
        <v>0.09196699999999999</v>
      </c>
      <c r="M270" s="9">
        <v>0.054417</v>
      </c>
      <c r="N270" t="s">
        <v>14</v>
      </c>
      <c r="O270" s="9">
        <v>0.22</v>
      </c>
      <c r="S270" s="7">
        <v>12.04</v>
      </c>
      <c r="T270" s="7">
        <v>6.08</v>
      </c>
      <c r="X270" s="10" t="s">
        <v>428</v>
      </c>
      <c r="Y270" s="11" t="s">
        <v>764</v>
      </c>
      <c r="Z270" t="s">
        <v>522</v>
      </c>
    </row>
    <row r="271" spans="1:26">
      <c r="A271">
        <v>231</v>
      </c>
      <c r="B271" t="s">
        <v>730</v>
      </c>
      <c r="C271" t="s">
        <v>731</v>
      </c>
      <c r="D271" t="s">
        <v>732</v>
      </c>
      <c r="E271" t="s">
        <v>733</v>
      </c>
      <c r="F271" t="s">
        <v>734</v>
      </c>
      <c r="G271" t="s">
        <v>472</v>
      </c>
      <c r="H271" t="s">
        <v>10</v>
      </c>
      <c r="I271">
        <v>0</v>
      </c>
      <c r="J271" t="s">
        <v>765</v>
      </c>
      <c r="K271" s="9">
        <v>1.986968</v>
      </c>
      <c r="L271" s="9">
        <v>0.158927</v>
      </c>
      <c r="M271" s="9">
        <v>0.126589</v>
      </c>
      <c r="N271" t="s">
        <v>14</v>
      </c>
      <c r="O271" s="9">
        <v>0.51</v>
      </c>
      <c r="S271" s="7">
        <v>14.32</v>
      </c>
      <c r="T271" s="7">
        <v>8</v>
      </c>
      <c r="X271" s="10" t="s">
        <v>428</v>
      </c>
      <c r="Y271" s="11" t="s">
        <v>766</v>
      </c>
      <c r="Z271" t="s">
        <v>522</v>
      </c>
    </row>
    <row r="272" spans="1:26">
      <c r="A272">
        <v>232</v>
      </c>
      <c r="B272" t="s">
        <v>730</v>
      </c>
      <c r="C272" t="s">
        <v>731</v>
      </c>
      <c r="D272" t="s">
        <v>732</v>
      </c>
      <c r="E272" t="s">
        <v>733</v>
      </c>
      <c r="F272" t="s">
        <v>734</v>
      </c>
      <c r="G272" t="s">
        <v>475</v>
      </c>
      <c r="H272" t="s">
        <v>10</v>
      </c>
      <c r="I272">
        <v>0</v>
      </c>
      <c r="J272" t="s">
        <v>759</v>
      </c>
      <c r="K272" s="9">
        <v>1.888046</v>
      </c>
      <c r="L272" s="9">
        <v>0.184968</v>
      </c>
      <c r="M272" s="9">
        <v>0.171761</v>
      </c>
      <c r="N272" t="s">
        <v>14</v>
      </c>
      <c r="S272" s="7">
        <v>16.66</v>
      </c>
      <c r="T272" s="7">
        <v>9.800000000000001</v>
      </c>
      <c r="X272" s="10" t="s">
        <v>483</v>
      </c>
      <c r="Y272" s="11" t="s">
        <v>760</v>
      </c>
      <c r="Z272" t="s">
        <v>522</v>
      </c>
    </row>
    <row r="273" spans="1:26">
      <c r="A273">
        <v>233</v>
      </c>
      <c r="B273" t="s">
        <v>730</v>
      </c>
      <c r="C273" t="s">
        <v>731</v>
      </c>
      <c r="D273" t="s">
        <v>732</v>
      </c>
      <c r="E273" t="s">
        <v>733</v>
      </c>
      <c r="F273" t="s">
        <v>734</v>
      </c>
      <c r="G273" t="s">
        <v>150</v>
      </c>
      <c r="H273" t="s">
        <v>10</v>
      </c>
      <c r="I273">
        <v>0</v>
      </c>
      <c r="J273" t="s">
        <v>767</v>
      </c>
      <c r="K273" s="9">
        <v>1.684701</v>
      </c>
      <c r="L273" s="9">
        <v>0.100287</v>
      </c>
      <c r="M273" s="9">
        <v>0.08335099999999999</v>
      </c>
      <c r="N273" t="s">
        <v>14</v>
      </c>
      <c r="O273" s="9">
        <v>0.33</v>
      </c>
      <c r="S273" s="7">
        <v>14.19</v>
      </c>
      <c r="T273" s="7">
        <v>5.95</v>
      </c>
      <c r="X273" s="10" t="s">
        <v>428</v>
      </c>
      <c r="Y273" s="11" t="s">
        <v>768</v>
      </c>
      <c r="Z273" t="s">
        <v>522</v>
      </c>
    </row>
    <row r="274" spans="1:26">
      <c r="A274">
        <v>234</v>
      </c>
      <c r="B274" t="s">
        <v>769</v>
      </c>
      <c r="C274" t="s">
        <v>770</v>
      </c>
      <c r="D274" t="s">
        <v>771</v>
      </c>
      <c r="E274" t="s">
        <v>733</v>
      </c>
      <c r="F274" t="s">
        <v>772</v>
      </c>
      <c r="G274" t="s">
        <v>57</v>
      </c>
      <c r="H274" t="s">
        <v>10</v>
      </c>
      <c r="I274">
        <v>0</v>
      </c>
      <c r="J274" t="s">
        <v>773</v>
      </c>
      <c r="K274" s="9">
        <v>3.957</v>
      </c>
      <c r="L274" s="9">
        <v>0.9320000000000001</v>
      </c>
      <c r="M274" s="9">
        <v>0.755</v>
      </c>
      <c r="N274" t="s">
        <v>14</v>
      </c>
      <c r="O274" s="9">
        <v>0.82</v>
      </c>
      <c r="S274" s="7">
        <v>44.2</v>
      </c>
      <c r="T274" s="7">
        <v>23.55</v>
      </c>
      <c r="X274" s="10" t="s">
        <v>428</v>
      </c>
      <c r="Y274" s="11" t="s">
        <v>774</v>
      </c>
      <c r="Z274" t="s">
        <v>522</v>
      </c>
    </row>
    <row r="275" spans="1:26">
      <c r="A275">
        <v>235</v>
      </c>
      <c r="B275" t="s">
        <v>769</v>
      </c>
      <c r="C275" t="s">
        <v>770</v>
      </c>
      <c r="D275" t="s">
        <v>771</v>
      </c>
      <c r="E275" t="s">
        <v>733</v>
      </c>
      <c r="F275" t="s">
        <v>772</v>
      </c>
      <c r="G275" t="s">
        <v>62</v>
      </c>
      <c r="H275" t="s">
        <v>10</v>
      </c>
      <c r="I275">
        <v>0</v>
      </c>
      <c r="J275" t="s">
        <v>775</v>
      </c>
      <c r="K275" s="9">
        <v>4.395</v>
      </c>
      <c r="L275" s="9">
        <v>1.108</v>
      </c>
      <c r="M275" s="9">
        <v>0.841</v>
      </c>
      <c r="N275" t="s">
        <v>14</v>
      </c>
      <c r="O275" s="9">
        <v>0.91</v>
      </c>
      <c r="S275" s="7">
        <v>44.48</v>
      </c>
      <c r="T275" s="7">
        <v>25.21</v>
      </c>
      <c r="X275" s="10" t="s">
        <v>428</v>
      </c>
      <c r="Y275" s="11" t="s">
        <v>776</v>
      </c>
      <c r="Z275" t="s">
        <v>522</v>
      </c>
    </row>
    <row r="276" spans="1:26">
      <c r="A276">
        <v>236</v>
      </c>
      <c r="B276" t="s">
        <v>769</v>
      </c>
      <c r="C276" t="s">
        <v>770</v>
      </c>
      <c r="D276" t="s">
        <v>771</v>
      </c>
      <c r="E276" t="s">
        <v>733</v>
      </c>
      <c r="F276" t="s">
        <v>772</v>
      </c>
      <c r="G276" t="s">
        <v>71</v>
      </c>
      <c r="H276" t="s">
        <v>10</v>
      </c>
      <c r="I276">
        <v>0</v>
      </c>
      <c r="J276" t="s">
        <v>777</v>
      </c>
      <c r="K276" s="9">
        <v>5.162</v>
      </c>
      <c r="L276" s="9">
        <v>1.283</v>
      </c>
      <c r="M276" s="9">
        <v>1.13</v>
      </c>
      <c r="N276" t="s">
        <v>14</v>
      </c>
      <c r="O276" s="9">
        <v>1.22</v>
      </c>
      <c r="S276" s="7">
        <v>45.51</v>
      </c>
      <c r="T276" s="7">
        <v>24.85</v>
      </c>
      <c r="X276" s="10" t="s">
        <v>428</v>
      </c>
      <c r="Y276" s="11" t="s">
        <v>778</v>
      </c>
      <c r="Z276" t="s">
        <v>522</v>
      </c>
    </row>
    <row r="277" spans="1:26">
      <c r="A277">
        <v>237</v>
      </c>
      <c r="B277" t="s">
        <v>769</v>
      </c>
      <c r="C277" t="s">
        <v>770</v>
      </c>
      <c r="D277" t="s">
        <v>771</v>
      </c>
      <c r="E277" t="s">
        <v>733</v>
      </c>
      <c r="F277" t="s">
        <v>772</v>
      </c>
      <c r="G277" t="s">
        <v>75</v>
      </c>
      <c r="H277" t="s">
        <v>10</v>
      </c>
      <c r="I277">
        <v>0</v>
      </c>
      <c r="J277" t="s">
        <v>779</v>
      </c>
      <c r="K277" s="9">
        <v>5.582</v>
      </c>
      <c r="L277" s="9">
        <v>1.579</v>
      </c>
      <c r="M277" s="9">
        <v>1.33</v>
      </c>
      <c r="N277" t="s">
        <v>14</v>
      </c>
      <c r="O277" s="9">
        <v>1.43</v>
      </c>
      <c r="S277" s="7">
        <v>47.53</v>
      </c>
      <c r="T277" s="7">
        <v>28.29</v>
      </c>
      <c r="X277" s="10" t="s">
        <v>428</v>
      </c>
      <c r="Y277" s="11" t="s">
        <v>780</v>
      </c>
      <c r="Z277" t="s">
        <v>522</v>
      </c>
    </row>
    <row r="278" spans="1:26">
      <c r="A278">
        <v>238</v>
      </c>
      <c r="B278" t="s">
        <v>769</v>
      </c>
      <c r="C278" t="s">
        <v>770</v>
      </c>
      <c r="D278" t="s">
        <v>771</v>
      </c>
      <c r="E278" t="s">
        <v>733</v>
      </c>
      <c r="F278" t="s">
        <v>772</v>
      </c>
      <c r="G278" t="s">
        <v>80</v>
      </c>
      <c r="H278" t="s">
        <v>10</v>
      </c>
      <c r="I278">
        <v>0</v>
      </c>
      <c r="J278" t="s">
        <v>781</v>
      </c>
      <c r="K278" s="9">
        <v>6.196</v>
      </c>
      <c r="L278" s="9">
        <v>2.013</v>
      </c>
      <c r="M278" s="9">
        <v>1.716</v>
      </c>
      <c r="N278" t="s">
        <v>14</v>
      </c>
      <c r="O278" s="9">
        <v>1.87</v>
      </c>
      <c r="S278" s="7">
        <v>47.89</v>
      </c>
      <c r="T278" s="7">
        <v>32.49</v>
      </c>
      <c r="X278" s="10" t="s">
        <v>428</v>
      </c>
      <c r="Y278" s="11" t="s">
        <v>782</v>
      </c>
      <c r="Z278" t="s">
        <v>522</v>
      </c>
    </row>
    <row r="279" spans="1:26">
      <c r="A279">
        <v>239</v>
      </c>
      <c r="B279" t="s">
        <v>769</v>
      </c>
      <c r="C279" t="s">
        <v>770</v>
      </c>
      <c r="D279" t="s">
        <v>771</v>
      </c>
      <c r="E279" t="s">
        <v>733</v>
      </c>
      <c r="F279" t="s">
        <v>772</v>
      </c>
      <c r="G279" t="s">
        <v>85</v>
      </c>
      <c r="H279" t="s">
        <v>10</v>
      </c>
      <c r="I279">
        <v>0</v>
      </c>
      <c r="J279" t="s">
        <v>783</v>
      </c>
      <c r="K279" s="9">
        <v>6.123</v>
      </c>
      <c r="L279" s="9">
        <v>2.014</v>
      </c>
      <c r="M279" s="9">
        <v>1.712</v>
      </c>
      <c r="N279" t="s">
        <v>14</v>
      </c>
      <c r="S279" s="7">
        <v>48.1</v>
      </c>
      <c r="T279" s="7">
        <v>32.89</v>
      </c>
      <c r="X279" s="10" t="s">
        <v>483</v>
      </c>
      <c r="Y279" s="11" t="s">
        <v>784</v>
      </c>
      <c r="Z279" t="s">
        <v>522</v>
      </c>
    </row>
    <row r="280" spans="1:26">
      <c r="A280">
        <v>240</v>
      </c>
      <c r="B280" t="s">
        <v>769</v>
      </c>
      <c r="C280" t="s">
        <v>770</v>
      </c>
      <c r="D280" t="s">
        <v>771</v>
      </c>
      <c r="E280" t="s">
        <v>733</v>
      </c>
      <c r="F280" t="s">
        <v>772</v>
      </c>
      <c r="G280" t="s">
        <v>89</v>
      </c>
      <c r="H280" t="s">
        <v>10</v>
      </c>
      <c r="I280">
        <v>0</v>
      </c>
      <c r="J280" t="s">
        <v>785</v>
      </c>
      <c r="K280" s="9">
        <v>6.271</v>
      </c>
      <c r="L280" s="9">
        <v>1.976</v>
      </c>
      <c r="M280" s="9">
        <v>1.792</v>
      </c>
      <c r="N280" t="s">
        <v>14</v>
      </c>
      <c r="O280" s="9">
        <v>2</v>
      </c>
      <c r="S280" s="7">
        <v>47.19</v>
      </c>
      <c r="T280" s="7">
        <v>31.51</v>
      </c>
      <c r="X280" s="10" t="s">
        <v>428</v>
      </c>
      <c r="Y280" s="11" t="s">
        <v>786</v>
      </c>
      <c r="Z280" t="s">
        <v>522</v>
      </c>
    </row>
    <row r="281" spans="1:26">
      <c r="A281">
        <v>241</v>
      </c>
      <c r="B281" t="s">
        <v>769</v>
      </c>
      <c r="C281" t="s">
        <v>770</v>
      </c>
      <c r="D281" t="s">
        <v>771</v>
      </c>
      <c r="E281" t="s">
        <v>733</v>
      </c>
      <c r="F281" t="s">
        <v>772</v>
      </c>
      <c r="G281" t="s">
        <v>93</v>
      </c>
      <c r="H281" t="s">
        <v>10</v>
      </c>
      <c r="I281">
        <v>0</v>
      </c>
      <c r="J281" t="s">
        <v>787</v>
      </c>
      <c r="K281" s="9">
        <v>6.245</v>
      </c>
      <c r="L281" s="9">
        <v>1.894</v>
      </c>
      <c r="M281" s="9">
        <v>1.536</v>
      </c>
      <c r="N281" t="s">
        <v>14</v>
      </c>
      <c r="O281" s="9">
        <v>1.74</v>
      </c>
      <c r="S281" s="7">
        <v>46.87</v>
      </c>
      <c r="T281" s="7">
        <v>30.33</v>
      </c>
      <c r="X281" s="10" t="s">
        <v>428</v>
      </c>
      <c r="Y281" s="11" t="s">
        <v>788</v>
      </c>
      <c r="Z281" t="s">
        <v>522</v>
      </c>
    </row>
    <row r="282" spans="1:26">
      <c r="A282">
        <v>242</v>
      </c>
      <c r="B282" t="s">
        <v>769</v>
      </c>
      <c r="C282" t="s">
        <v>770</v>
      </c>
      <c r="D282" t="s">
        <v>771</v>
      </c>
      <c r="E282" t="s">
        <v>733</v>
      </c>
      <c r="F282" t="s">
        <v>772</v>
      </c>
      <c r="G282" t="s">
        <v>98</v>
      </c>
      <c r="H282" t="s">
        <v>10</v>
      </c>
      <c r="I282">
        <v>0</v>
      </c>
      <c r="J282" t="s">
        <v>789</v>
      </c>
      <c r="K282" s="9">
        <v>6.52</v>
      </c>
      <c r="L282" s="9">
        <v>1.924</v>
      </c>
      <c r="M282" s="9">
        <v>1.606</v>
      </c>
      <c r="N282" t="s">
        <v>14</v>
      </c>
      <c r="O282" s="9">
        <v>1.85</v>
      </c>
      <c r="S282" s="7">
        <v>46.1</v>
      </c>
      <c r="T282" s="7">
        <v>29.51</v>
      </c>
      <c r="X282" s="10" t="s">
        <v>428</v>
      </c>
      <c r="Y282" s="11" t="s">
        <v>790</v>
      </c>
      <c r="Z282" t="s">
        <v>522</v>
      </c>
    </row>
    <row r="283" spans="1:26">
      <c r="A283">
        <v>243</v>
      </c>
      <c r="B283" t="s">
        <v>769</v>
      </c>
      <c r="C283" t="s">
        <v>770</v>
      </c>
      <c r="D283" t="s">
        <v>771</v>
      </c>
      <c r="E283" t="s">
        <v>733</v>
      </c>
      <c r="F283" t="s">
        <v>772</v>
      </c>
      <c r="G283" t="s">
        <v>103</v>
      </c>
      <c r="H283" t="s">
        <v>10</v>
      </c>
      <c r="I283">
        <v>0</v>
      </c>
      <c r="J283" t="s">
        <v>791</v>
      </c>
      <c r="K283" s="9">
        <v>6.749</v>
      </c>
      <c r="L283" s="9">
        <v>1.994</v>
      </c>
      <c r="M283" s="9">
        <v>1.591</v>
      </c>
      <c r="N283" t="s">
        <v>14</v>
      </c>
      <c r="S283" s="7">
        <v>45.95</v>
      </c>
      <c r="T283" s="7">
        <v>29.55</v>
      </c>
      <c r="X283" s="10" t="s">
        <v>483</v>
      </c>
      <c r="Y283" s="11" t="s">
        <v>792</v>
      </c>
      <c r="Z283" t="s">
        <v>522</v>
      </c>
    </row>
    <row r="284" spans="1:26">
      <c r="A284">
        <v>244</v>
      </c>
      <c r="B284" t="s">
        <v>769</v>
      </c>
      <c r="C284" t="s">
        <v>770</v>
      </c>
      <c r="D284" t="s">
        <v>771</v>
      </c>
      <c r="E284" t="s">
        <v>733</v>
      </c>
      <c r="F284" t="s">
        <v>772</v>
      </c>
      <c r="G284" t="s">
        <v>107</v>
      </c>
      <c r="H284" t="s">
        <v>10</v>
      </c>
      <c r="I284">
        <v>0</v>
      </c>
      <c r="J284" t="s">
        <v>793</v>
      </c>
      <c r="K284" s="9">
        <v>6.739</v>
      </c>
      <c r="L284" s="9">
        <v>1.97</v>
      </c>
      <c r="M284" s="9">
        <v>1.717</v>
      </c>
      <c r="N284" t="s">
        <v>14</v>
      </c>
      <c r="O284" s="9">
        <v>2.02</v>
      </c>
      <c r="S284" s="7">
        <v>46.67</v>
      </c>
      <c r="T284" s="7">
        <v>29.23</v>
      </c>
      <c r="X284" s="10" t="s">
        <v>428</v>
      </c>
      <c r="Y284" s="11" t="s">
        <v>794</v>
      </c>
      <c r="Z284" t="s">
        <v>522</v>
      </c>
    </row>
    <row r="285" spans="1:26">
      <c r="A285">
        <v>245</v>
      </c>
      <c r="B285" t="s">
        <v>769</v>
      </c>
      <c r="C285" t="s">
        <v>770</v>
      </c>
      <c r="D285" t="s">
        <v>771</v>
      </c>
      <c r="E285" t="s">
        <v>733</v>
      </c>
      <c r="F285" t="s">
        <v>772</v>
      </c>
      <c r="G285" t="s">
        <v>112</v>
      </c>
      <c r="H285" t="s">
        <v>10</v>
      </c>
      <c r="I285">
        <v>0</v>
      </c>
      <c r="J285" t="s">
        <v>795</v>
      </c>
      <c r="K285" s="9">
        <v>6.63</v>
      </c>
      <c r="L285" s="9">
        <v>1.911</v>
      </c>
      <c r="M285" s="9">
        <v>1.575</v>
      </c>
      <c r="N285" t="s">
        <v>14</v>
      </c>
      <c r="O285" s="9">
        <v>1.86</v>
      </c>
      <c r="S285" s="7">
        <v>46.67</v>
      </c>
      <c r="T285" s="7">
        <v>28.82</v>
      </c>
      <c r="X285" s="10" t="s">
        <v>428</v>
      </c>
      <c r="Y285" s="11" t="s">
        <v>796</v>
      </c>
      <c r="Z285" t="s">
        <v>522</v>
      </c>
    </row>
    <row r="286" spans="1:26">
      <c r="A286">
        <v>246</v>
      </c>
      <c r="B286" t="s">
        <v>769</v>
      </c>
      <c r="C286" t="s">
        <v>770</v>
      </c>
      <c r="D286" t="s">
        <v>771</v>
      </c>
      <c r="E286" t="s">
        <v>733</v>
      </c>
      <c r="F286" t="s">
        <v>772</v>
      </c>
      <c r="G286" t="s">
        <v>116</v>
      </c>
      <c r="H286" t="s">
        <v>10</v>
      </c>
      <c r="I286">
        <v>0</v>
      </c>
      <c r="J286" t="s">
        <v>797</v>
      </c>
      <c r="K286" s="9">
        <v>6.425</v>
      </c>
      <c r="L286" s="9">
        <v>1.802</v>
      </c>
      <c r="M286" s="9">
        <v>1.56</v>
      </c>
      <c r="N286" t="s">
        <v>14</v>
      </c>
      <c r="O286" s="9">
        <v>1.85</v>
      </c>
      <c r="S286" s="7">
        <v>46.32</v>
      </c>
      <c r="T286" s="7">
        <v>28.05</v>
      </c>
      <c r="X286" s="10" t="s">
        <v>428</v>
      </c>
      <c r="Y286" s="11" t="s">
        <v>798</v>
      </c>
      <c r="Z286" t="s">
        <v>522</v>
      </c>
    </row>
    <row r="287" spans="1:26">
      <c r="A287">
        <v>247</v>
      </c>
      <c r="B287" t="s">
        <v>769</v>
      </c>
      <c r="C287" t="s">
        <v>770</v>
      </c>
      <c r="D287" t="s">
        <v>771</v>
      </c>
      <c r="E287" t="s">
        <v>733</v>
      </c>
      <c r="F287" t="s">
        <v>772</v>
      </c>
      <c r="G287" t="s">
        <v>120</v>
      </c>
      <c r="H287" t="s">
        <v>10</v>
      </c>
      <c r="I287">
        <v>0</v>
      </c>
      <c r="J287" t="s">
        <v>799</v>
      </c>
      <c r="K287" s="9">
        <v>6.723</v>
      </c>
      <c r="L287" s="9">
        <v>1.971</v>
      </c>
      <c r="M287" s="9">
        <v>2.004</v>
      </c>
      <c r="N287" t="s">
        <v>14</v>
      </c>
      <c r="S287" s="7">
        <v>47.14</v>
      </c>
      <c r="T287" s="7">
        <v>29.32</v>
      </c>
      <c r="X287" s="10" t="s">
        <v>483</v>
      </c>
      <c r="Y287" s="11" t="s">
        <v>800</v>
      </c>
      <c r="Z287" t="s">
        <v>522</v>
      </c>
    </row>
    <row r="288" spans="1:26">
      <c r="A288">
        <v>248</v>
      </c>
      <c r="B288" t="s">
        <v>769</v>
      </c>
      <c r="C288" t="s">
        <v>770</v>
      </c>
      <c r="D288" t="s">
        <v>771</v>
      </c>
      <c r="E288" t="s">
        <v>733</v>
      </c>
      <c r="F288" t="s">
        <v>772</v>
      </c>
      <c r="G288" t="s">
        <v>124</v>
      </c>
      <c r="H288" t="s">
        <v>10</v>
      </c>
      <c r="I288">
        <v>0</v>
      </c>
      <c r="J288" t="s">
        <v>801</v>
      </c>
      <c r="K288" s="9">
        <v>6.707</v>
      </c>
      <c r="L288" s="9">
        <v>1.967</v>
      </c>
      <c r="M288" s="9">
        <v>2.019</v>
      </c>
      <c r="N288" t="s">
        <v>14</v>
      </c>
      <c r="O288" s="9">
        <v>2.41</v>
      </c>
      <c r="S288" s="7">
        <v>47.77</v>
      </c>
      <c r="T288" s="7">
        <v>29.33</v>
      </c>
      <c r="X288" s="10" t="s">
        <v>428</v>
      </c>
      <c r="Y288" s="11" t="s">
        <v>802</v>
      </c>
      <c r="Z288" t="s">
        <v>522</v>
      </c>
    </row>
    <row r="289" spans="1:26">
      <c r="A289">
        <v>249</v>
      </c>
      <c r="B289" t="s">
        <v>769</v>
      </c>
      <c r="C289" t="s">
        <v>770</v>
      </c>
      <c r="D289" t="s">
        <v>771</v>
      </c>
      <c r="E289" t="s">
        <v>733</v>
      </c>
      <c r="F289" t="s">
        <v>772</v>
      </c>
      <c r="G289" t="s">
        <v>128</v>
      </c>
      <c r="H289" t="s">
        <v>10</v>
      </c>
      <c r="I289">
        <v>0</v>
      </c>
      <c r="J289" t="s">
        <v>803</v>
      </c>
      <c r="K289" s="9">
        <v>6.646</v>
      </c>
      <c r="L289" s="9">
        <v>1.912</v>
      </c>
      <c r="M289" s="9">
        <v>1.722</v>
      </c>
      <c r="N289" t="s">
        <v>14</v>
      </c>
      <c r="O289" s="9">
        <v>2.06</v>
      </c>
      <c r="S289" s="7">
        <v>47.44</v>
      </c>
      <c r="T289" s="7">
        <v>28.77</v>
      </c>
      <c r="X289" s="10" t="s">
        <v>428</v>
      </c>
      <c r="Y289" s="11" t="s">
        <v>804</v>
      </c>
      <c r="Z289" t="s">
        <v>522</v>
      </c>
    </row>
    <row r="290" spans="1:26">
      <c r="A290">
        <v>250</v>
      </c>
      <c r="B290" t="s">
        <v>769</v>
      </c>
      <c r="C290" t="s">
        <v>770</v>
      </c>
      <c r="D290" t="s">
        <v>771</v>
      </c>
      <c r="E290" t="s">
        <v>733</v>
      </c>
      <c r="F290" t="s">
        <v>772</v>
      </c>
      <c r="G290" t="s">
        <v>133</v>
      </c>
      <c r="H290" t="s">
        <v>10</v>
      </c>
      <c r="I290">
        <v>0</v>
      </c>
      <c r="J290" t="s">
        <v>805</v>
      </c>
      <c r="K290" s="9">
        <v>6.778</v>
      </c>
      <c r="L290" s="9">
        <v>1.942</v>
      </c>
      <c r="M290" s="9">
        <v>1.705</v>
      </c>
      <c r="N290" t="s">
        <v>14</v>
      </c>
      <c r="O290" s="9">
        <v>2.05</v>
      </c>
      <c r="S290" s="7">
        <v>47.29</v>
      </c>
      <c r="T290" s="7">
        <v>28.65</v>
      </c>
      <c r="X290" s="10" t="s">
        <v>428</v>
      </c>
      <c r="Y290" s="11" t="s">
        <v>806</v>
      </c>
      <c r="Z290" t="s">
        <v>522</v>
      </c>
    </row>
    <row r="291" spans="1:26">
      <c r="A291">
        <v>251</v>
      </c>
      <c r="B291" t="s">
        <v>769</v>
      </c>
      <c r="C291" t="s">
        <v>770</v>
      </c>
      <c r="D291" t="s">
        <v>771</v>
      </c>
      <c r="E291" t="s">
        <v>733</v>
      </c>
      <c r="F291" t="s">
        <v>772</v>
      </c>
      <c r="G291" t="s">
        <v>137</v>
      </c>
      <c r="H291" t="s">
        <v>10</v>
      </c>
      <c r="I291">
        <v>0</v>
      </c>
      <c r="J291" t="s">
        <v>799</v>
      </c>
      <c r="K291" s="9">
        <v>7.045</v>
      </c>
      <c r="L291" s="9">
        <v>2.046</v>
      </c>
      <c r="M291" s="9">
        <v>1.731</v>
      </c>
      <c r="N291" t="s">
        <v>14</v>
      </c>
      <c r="S291" s="7">
        <v>47.34</v>
      </c>
      <c r="T291" s="7">
        <v>29.04</v>
      </c>
      <c r="X291" s="10" t="s">
        <v>483</v>
      </c>
      <c r="Y291" s="11" t="s">
        <v>800</v>
      </c>
      <c r="Z291" t="s">
        <v>522</v>
      </c>
    </row>
    <row r="292" spans="1:26">
      <c r="A292">
        <v>252</v>
      </c>
      <c r="B292" t="s">
        <v>769</v>
      </c>
      <c r="C292" t="s">
        <v>770</v>
      </c>
      <c r="D292" t="s">
        <v>771</v>
      </c>
      <c r="E292" t="s">
        <v>733</v>
      </c>
      <c r="F292" t="s">
        <v>772</v>
      </c>
      <c r="G292" t="s">
        <v>141</v>
      </c>
      <c r="H292" t="s">
        <v>10</v>
      </c>
      <c r="I292">
        <v>0</v>
      </c>
      <c r="J292" t="s">
        <v>807</v>
      </c>
      <c r="K292" s="9">
        <v>7.166</v>
      </c>
      <c r="L292" s="9">
        <v>2.175</v>
      </c>
      <c r="M292" s="9">
        <v>1.185</v>
      </c>
      <c r="N292" t="s">
        <v>14</v>
      </c>
      <c r="O292" s="9">
        <v>1.45</v>
      </c>
      <c r="S292" s="7">
        <v>48.79</v>
      </c>
      <c r="T292" s="7">
        <v>30.35</v>
      </c>
      <c r="X292" s="10" t="s">
        <v>428</v>
      </c>
      <c r="Y292" s="11" t="s">
        <v>808</v>
      </c>
      <c r="Z292" t="s">
        <v>522</v>
      </c>
    </row>
    <row r="293" spans="1:26">
      <c r="A293">
        <v>253</v>
      </c>
      <c r="B293" t="s">
        <v>769</v>
      </c>
      <c r="C293" t="s">
        <v>770</v>
      </c>
      <c r="D293" t="s">
        <v>771</v>
      </c>
      <c r="E293" t="s">
        <v>733</v>
      </c>
      <c r="F293" t="s">
        <v>772</v>
      </c>
      <c r="G293" t="s">
        <v>146</v>
      </c>
      <c r="H293" t="s">
        <v>10</v>
      </c>
      <c r="I293">
        <v>0</v>
      </c>
      <c r="J293" t="s">
        <v>809</v>
      </c>
      <c r="K293" s="9">
        <v>7.1</v>
      </c>
      <c r="L293" s="9">
        <v>2.169</v>
      </c>
      <c r="M293" s="9">
        <v>2.137</v>
      </c>
      <c r="N293" t="s">
        <v>14</v>
      </c>
      <c r="O293" s="9">
        <v>2.63</v>
      </c>
      <c r="S293" s="7">
        <v>49.08</v>
      </c>
      <c r="T293" s="7">
        <v>30.55</v>
      </c>
      <c r="X293" s="10" t="s">
        <v>428</v>
      </c>
      <c r="Y293" s="11" t="s">
        <v>810</v>
      </c>
      <c r="Z293" t="s">
        <v>522</v>
      </c>
    </row>
    <row r="294" spans="1:26">
      <c r="A294">
        <v>254</v>
      </c>
      <c r="B294" t="s">
        <v>769</v>
      </c>
      <c r="C294" t="s">
        <v>770</v>
      </c>
      <c r="D294" t="s">
        <v>771</v>
      </c>
      <c r="E294" t="s">
        <v>733</v>
      </c>
      <c r="F294" t="s">
        <v>772</v>
      </c>
      <c r="G294" t="s">
        <v>472</v>
      </c>
      <c r="H294" t="s">
        <v>10</v>
      </c>
      <c r="I294">
        <v>0</v>
      </c>
      <c r="J294" t="s">
        <v>811</v>
      </c>
      <c r="K294" s="9">
        <v>7.302</v>
      </c>
      <c r="L294" s="9">
        <v>2.233</v>
      </c>
      <c r="M294" s="9">
        <v>1.779</v>
      </c>
      <c r="N294" t="s">
        <v>14</v>
      </c>
      <c r="O294" s="9">
        <v>2.22</v>
      </c>
      <c r="S294" s="7">
        <v>48.78</v>
      </c>
      <c r="T294" s="7">
        <v>30.58</v>
      </c>
      <c r="X294" s="10" t="s">
        <v>428</v>
      </c>
      <c r="Y294" s="11" t="s">
        <v>812</v>
      </c>
      <c r="Z294" t="s">
        <v>522</v>
      </c>
    </row>
    <row r="295" spans="1:26">
      <c r="A295">
        <v>255</v>
      </c>
      <c r="B295" t="s">
        <v>769</v>
      </c>
      <c r="C295" t="s">
        <v>770</v>
      </c>
      <c r="D295" t="s">
        <v>771</v>
      </c>
      <c r="E295" t="s">
        <v>733</v>
      </c>
      <c r="F295" t="s">
        <v>772</v>
      </c>
      <c r="G295" t="s">
        <v>475</v>
      </c>
      <c r="H295" t="s">
        <v>10</v>
      </c>
      <c r="I295">
        <v>0</v>
      </c>
      <c r="J295" t="s">
        <v>799</v>
      </c>
      <c r="K295" s="9">
        <v>6.8</v>
      </c>
      <c r="L295" s="9">
        <v>1.712</v>
      </c>
      <c r="M295" s="9">
        <v>1.897</v>
      </c>
      <c r="N295" t="s">
        <v>14</v>
      </c>
      <c r="S295" s="7">
        <v>48.01</v>
      </c>
      <c r="T295" s="7">
        <v>25.18</v>
      </c>
      <c r="X295" s="10" t="s">
        <v>483</v>
      </c>
      <c r="Y295" s="11" t="s">
        <v>800</v>
      </c>
      <c r="Z295" t="s">
        <v>522</v>
      </c>
    </row>
    <row r="296" spans="1:26">
      <c r="A296">
        <v>256</v>
      </c>
      <c r="B296" t="s">
        <v>769</v>
      </c>
      <c r="C296" t="s">
        <v>770</v>
      </c>
      <c r="D296" t="s">
        <v>771</v>
      </c>
      <c r="E296" t="s">
        <v>733</v>
      </c>
      <c r="F296" t="s">
        <v>772</v>
      </c>
      <c r="G296" t="s">
        <v>150</v>
      </c>
      <c r="H296" t="s">
        <v>10</v>
      </c>
      <c r="I296">
        <v>0</v>
      </c>
      <c r="J296" t="s">
        <v>807</v>
      </c>
      <c r="K296" s="9">
        <v>7.012</v>
      </c>
      <c r="L296" s="9">
        <v>1.831</v>
      </c>
      <c r="M296" s="9">
        <v>2.026</v>
      </c>
      <c r="N296" t="s">
        <v>14</v>
      </c>
      <c r="O296" s="9">
        <v>2.54</v>
      </c>
      <c r="S296" s="7">
        <v>48.99</v>
      </c>
      <c r="T296" s="7">
        <v>26.11</v>
      </c>
      <c r="X296" s="10" t="s">
        <v>428</v>
      </c>
      <c r="Y296" s="11" t="s">
        <v>808</v>
      </c>
      <c r="Z296" t="s">
        <v>522</v>
      </c>
    </row>
    <row r="297" spans="1:26">
      <c r="A297">
        <v>257</v>
      </c>
      <c r="B297" t="s">
        <v>769</v>
      </c>
      <c r="C297" t="s">
        <v>770</v>
      </c>
      <c r="D297" t="s">
        <v>771</v>
      </c>
      <c r="E297" t="s">
        <v>733</v>
      </c>
      <c r="F297" t="s">
        <v>772</v>
      </c>
      <c r="G297" t="s">
        <v>155</v>
      </c>
      <c r="H297" t="s">
        <v>10</v>
      </c>
      <c r="I297">
        <v>0</v>
      </c>
      <c r="J297" t="s">
        <v>809</v>
      </c>
      <c r="K297" s="9">
        <v>7.91</v>
      </c>
      <c r="L297" s="9">
        <v>2.523</v>
      </c>
      <c r="M297" s="9">
        <v>2.806</v>
      </c>
      <c r="N297" t="s">
        <v>14</v>
      </c>
      <c r="O297" s="9">
        <v>3.51</v>
      </c>
      <c r="S297" s="7">
        <v>49.9</v>
      </c>
      <c r="T297" s="7">
        <v>31.9</v>
      </c>
      <c r="X297" s="10" t="s">
        <v>428</v>
      </c>
      <c r="Y297" s="11" t="s">
        <v>810</v>
      </c>
      <c r="Z297" t="s">
        <v>522</v>
      </c>
    </row>
    <row r="298" spans="1:26">
      <c r="A298">
        <v>402</v>
      </c>
      <c r="B298" t="s">
        <v>813</v>
      </c>
      <c r="C298" t="s">
        <v>813</v>
      </c>
      <c r="D298" t="s">
        <v>814</v>
      </c>
      <c r="E298" t="s">
        <v>733</v>
      </c>
      <c r="F298" t="s">
        <v>815</v>
      </c>
      <c r="G298" t="s">
        <v>146</v>
      </c>
      <c r="H298" t="s">
        <v>10</v>
      </c>
      <c r="I298">
        <v>0</v>
      </c>
      <c r="J298" t="s">
        <v>147</v>
      </c>
      <c r="K298" s="9">
        <v>4.834830019243104</v>
      </c>
      <c r="L298" s="9">
        <v>0.3269082745349583</v>
      </c>
      <c r="M298" s="9">
        <v>0.2412123155869147</v>
      </c>
      <c r="N298" t="s">
        <v>14</v>
      </c>
      <c r="O298" s="9">
        <v>0.109</v>
      </c>
      <c r="S298" s="7">
        <v>17.04</v>
      </c>
      <c r="T298" s="7">
        <v>6.76</v>
      </c>
      <c r="X298" s="10" t="s">
        <v>816</v>
      </c>
      <c r="Y298" s="11" t="s">
        <v>817</v>
      </c>
      <c r="Z298" t="s">
        <v>818</v>
      </c>
    </row>
    <row r="299" spans="1:26">
      <c r="A299">
        <v>403</v>
      </c>
      <c r="B299" t="s">
        <v>813</v>
      </c>
      <c r="C299" t="s">
        <v>813</v>
      </c>
      <c r="D299" t="s">
        <v>814</v>
      </c>
      <c r="E299" t="s">
        <v>733</v>
      </c>
      <c r="F299" t="s">
        <v>815</v>
      </c>
      <c r="G299" t="s">
        <v>150</v>
      </c>
      <c r="H299" t="s">
        <v>10</v>
      </c>
      <c r="I299">
        <v>0</v>
      </c>
      <c r="J299" t="s">
        <v>247</v>
      </c>
      <c r="K299" s="9">
        <v>5.507833809070726</v>
      </c>
      <c r="L299" s="9">
        <v>0.5548049476688867</v>
      </c>
      <c r="M299" s="9">
        <v>0.4482080558198541</v>
      </c>
      <c r="N299" t="s">
        <v>14</v>
      </c>
      <c r="O299" s="9">
        <v>0.195</v>
      </c>
      <c r="S299" s="7">
        <v>20.05</v>
      </c>
      <c r="T299" s="7">
        <v>10.07</v>
      </c>
      <c r="X299" s="10" t="s">
        <v>819</v>
      </c>
      <c r="Y299" s="11" t="s">
        <v>817</v>
      </c>
      <c r="Z299" t="s">
        <v>818</v>
      </c>
    </row>
    <row r="300" spans="1:26">
      <c r="A300">
        <v>404</v>
      </c>
      <c r="B300" t="s">
        <v>813</v>
      </c>
      <c r="C300" t="s">
        <v>813</v>
      </c>
      <c r="D300" t="s">
        <v>814</v>
      </c>
      <c r="E300" t="s">
        <v>733</v>
      </c>
      <c r="F300" t="s">
        <v>815</v>
      </c>
      <c r="G300" t="s">
        <v>155</v>
      </c>
      <c r="H300" t="s">
        <v>10</v>
      </c>
      <c r="I300">
        <v>0</v>
      </c>
      <c r="J300" t="s">
        <v>335</v>
      </c>
      <c r="K300" s="9">
        <v>6.048243114909782</v>
      </c>
      <c r="L300" s="9">
        <v>0.6690091801202913</v>
      </c>
      <c r="M300" s="9">
        <v>0.6669199113643558</v>
      </c>
      <c r="N300" t="s">
        <v>14</v>
      </c>
      <c r="O300" s="9">
        <v>0.292</v>
      </c>
      <c r="S300" s="7">
        <v>21.01</v>
      </c>
      <c r="T300" s="7">
        <v>11.06</v>
      </c>
      <c r="X300" s="10" t="s">
        <v>820</v>
      </c>
      <c r="Y300" s="11" t="s">
        <v>817</v>
      </c>
      <c r="Z300" t="s">
        <v>818</v>
      </c>
    </row>
    <row r="301" spans="1:26">
      <c r="A301">
        <v>324</v>
      </c>
      <c r="B301" t="s">
        <v>821</v>
      </c>
      <c r="C301" t="s">
        <v>821</v>
      </c>
      <c r="D301" t="s">
        <v>822</v>
      </c>
      <c r="E301" t="s">
        <v>733</v>
      </c>
      <c r="F301" t="s">
        <v>823</v>
      </c>
      <c r="G301" t="s">
        <v>50</v>
      </c>
      <c r="H301" t="s">
        <v>10</v>
      </c>
      <c r="I301">
        <v>0</v>
      </c>
      <c r="J301" t="s">
        <v>81</v>
      </c>
      <c r="K301" s="9">
        <v>1.53862</v>
      </c>
      <c r="M301" s="9">
        <v>0.420567</v>
      </c>
      <c r="N301" t="s">
        <v>14</v>
      </c>
      <c r="O301" s="9">
        <v>2.69</v>
      </c>
      <c r="X301" s="10" t="s">
        <v>428</v>
      </c>
      <c r="Y301" s="11" t="s">
        <v>824</v>
      </c>
      <c r="Z301" t="s">
        <v>522</v>
      </c>
    </row>
    <row r="302" spans="1:26">
      <c r="A302">
        <v>325</v>
      </c>
      <c r="B302" t="s">
        <v>821</v>
      </c>
      <c r="C302" t="s">
        <v>821</v>
      </c>
      <c r="D302" t="s">
        <v>822</v>
      </c>
      <c r="E302" t="s">
        <v>733</v>
      </c>
      <c r="F302" t="s">
        <v>823</v>
      </c>
      <c r="G302" t="s">
        <v>57</v>
      </c>
      <c r="H302" t="s">
        <v>10</v>
      </c>
      <c r="I302">
        <v>0</v>
      </c>
      <c r="J302" t="s">
        <v>825</v>
      </c>
      <c r="K302" s="9">
        <v>1.65087</v>
      </c>
      <c r="M302" s="9">
        <v>0.457251</v>
      </c>
      <c r="N302" t="s">
        <v>14</v>
      </c>
      <c r="O302" s="9">
        <v>2.94</v>
      </c>
      <c r="X302" s="10" t="s">
        <v>428</v>
      </c>
      <c r="Y302" s="11" t="s">
        <v>826</v>
      </c>
      <c r="Z302" t="s">
        <v>522</v>
      </c>
    </row>
    <row r="303" spans="1:26">
      <c r="A303">
        <v>326</v>
      </c>
      <c r="B303" t="s">
        <v>821</v>
      </c>
      <c r="C303" t="s">
        <v>821</v>
      </c>
      <c r="D303" t="s">
        <v>822</v>
      </c>
      <c r="E303" t="s">
        <v>733</v>
      </c>
      <c r="F303" t="s">
        <v>823</v>
      </c>
      <c r="G303" t="s">
        <v>62</v>
      </c>
      <c r="H303" t="s">
        <v>10</v>
      </c>
      <c r="I303">
        <v>0</v>
      </c>
      <c r="J303" t="s">
        <v>735</v>
      </c>
      <c r="K303" s="9">
        <v>1.423964</v>
      </c>
      <c r="M303" s="9">
        <v>0.457251</v>
      </c>
      <c r="N303" t="s">
        <v>14</v>
      </c>
      <c r="O303" s="9">
        <v>0.5</v>
      </c>
      <c r="X303" s="10" t="s">
        <v>428</v>
      </c>
      <c r="Y303" s="11" t="s">
        <v>827</v>
      </c>
      <c r="Z303" t="s">
        <v>522</v>
      </c>
    </row>
    <row r="304" spans="1:26">
      <c r="A304">
        <v>327</v>
      </c>
      <c r="B304" t="s">
        <v>821</v>
      </c>
      <c r="C304" t="s">
        <v>821</v>
      </c>
      <c r="D304" t="s">
        <v>822</v>
      </c>
      <c r="E304" t="s">
        <v>733</v>
      </c>
      <c r="F304" t="s">
        <v>823</v>
      </c>
      <c r="G304" t="s">
        <v>66</v>
      </c>
      <c r="H304" t="s">
        <v>10</v>
      </c>
      <c r="I304">
        <v>0</v>
      </c>
      <c r="J304" t="s">
        <v>828</v>
      </c>
      <c r="K304" s="9">
        <v>1.459593</v>
      </c>
      <c r="M304" s="9">
        <v>0.411253</v>
      </c>
      <c r="N304" t="s">
        <v>14</v>
      </c>
      <c r="X304" s="10" t="s">
        <v>829</v>
      </c>
      <c r="Y304" s="11" t="s">
        <v>830</v>
      </c>
      <c r="Z304" t="s">
        <v>522</v>
      </c>
    </row>
    <row r="305" spans="1:26">
      <c r="A305">
        <v>328</v>
      </c>
      <c r="B305" t="s">
        <v>821</v>
      </c>
      <c r="C305" t="s">
        <v>821</v>
      </c>
      <c r="D305" t="s">
        <v>822</v>
      </c>
      <c r="E305" t="s">
        <v>733</v>
      </c>
      <c r="F305" t="s">
        <v>823</v>
      </c>
      <c r="G305" t="s">
        <v>71</v>
      </c>
      <c r="H305" t="s">
        <v>10</v>
      </c>
      <c r="I305">
        <v>0</v>
      </c>
      <c r="J305" t="s">
        <v>597</v>
      </c>
      <c r="K305" s="9">
        <v>2.083838</v>
      </c>
      <c r="M305" s="9">
        <v>1.068417</v>
      </c>
      <c r="N305" t="s">
        <v>14</v>
      </c>
      <c r="O305" s="9">
        <v>6.96</v>
      </c>
      <c r="X305" s="10" t="s">
        <v>428</v>
      </c>
      <c r="Y305" s="11" t="s">
        <v>831</v>
      </c>
      <c r="Z305" t="s">
        <v>522</v>
      </c>
    </row>
    <row r="306" spans="1:26">
      <c r="A306">
        <v>329</v>
      </c>
      <c r="B306" t="s">
        <v>821</v>
      </c>
      <c r="C306" t="s">
        <v>821</v>
      </c>
      <c r="D306" t="s">
        <v>822</v>
      </c>
      <c r="E306" t="s">
        <v>733</v>
      </c>
      <c r="F306" t="s">
        <v>823</v>
      </c>
      <c r="G306" t="s">
        <v>75</v>
      </c>
      <c r="H306" t="s">
        <v>10</v>
      </c>
      <c r="I306">
        <v>0</v>
      </c>
      <c r="J306" t="s">
        <v>591</v>
      </c>
      <c r="K306" s="9">
        <v>2.35263</v>
      </c>
      <c r="M306" s="9">
        <v>0.717444</v>
      </c>
      <c r="N306" t="s">
        <v>14</v>
      </c>
      <c r="O306" s="9">
        <v>4.71</v>
      </c>
      <c r="X306" s="10" t="s">
        <v>428</v>
      </c>
      <c r="Y306" s="11" t="s">
        <v>832</v>
      </c>
      <c r="Z306" t="s">
        <v>522</v>
      </c>
    </row>
    <row r="307" spans="1:26">
      <c r="A307">
        <v>330</v>
      </c>
      <c r="B307" t="s">
        <v>821</v>
      </c>
      <c r="C307" t="s">
        <v>821</v>
      </c>
      <c r="D307" t="s">
        <v>822</v>
      </c>
      <c r="E307" t="s">
        <v>733</v>
      </c>
      <c r="F307" t="s">
        <v>823</v>
      </c>
      <c r="G307" t="s">
        <v>80</v>
      </c>
      <c r="H307" t="s">
        <v>10</v>
      </c>
      <c r="I307">
        <v>0</v>
      </c>
      <c r="J307" t="s">
        <v>593</v>
      </c>
      <c r="K307" s="9">
        <v>1.803773</v>
      </c>
      <c r="M307" s="9">
        <v>0.717444</v>
      </c>
      <c r="N307" t="s">
        <v>14</v>
      </c>
      <c r="O307" s="9">
        <v>3.66</v>
      </c>
      <c r="X307" s="10" t="s">
        <v>428</v>
      </c>
      <c r="Y307" s="11" t="s">
        <v>833</v>
      </c>
      <c r="Z307" t="s">
        <v>522</v>
      </c>
    </row>
    <row r="308" spans="1:26">
      <c r="A308">
        <v>331</v>
      </c>
      <c r="B308" t="s">
        <v>821</v>
      </c>
      <c r="C308" t="s">
        <v>821</v>
      </c>
      <c r="D308" t="s">
        <v>822</v>
      </c>
      <c r="E308" t="s">
        <v>733</v>
      </c>
      <c r="F308" t="s">
        <v>823</v>
      </c>
      <c r="G308" t="s">
        <v>85</v>
      </c>
      <c r="H308" t="s">
        <v>10</v>
      </c>
      <c r="I308">
        <v>0</v>
      </c>
      <c r="J308" t="s">
        <v>834</v>
      </c>
      <c r="K308" s="9">
        <v>1.925471</v>
      </c>
      <c r="M308" s="9">
        <v>0.632978</v>
      </c>
      <c r="N308" t="s">
        <v>14</v>
      </c>
      <c r="X308" s="10" t="s">
        <v>829</v>
      </c>
      <c r="Y308" s="11" t="s">
        <v>835</v>
      </c>
      <c r="Z308" t="s">
        <v>522</v>
      </c>
    </row>
    <row r="309" spans="1:26">
      <c r="A309">
        <v>332</v>
      </c>
      <c r="B309" t="s">
        <v>821</v>
      </c>
      <c r="C309" t="s">
        <v>821</v>
      </c>
      <c r="D309" t="s">
        <v>822</v>
      </c>
      <c r="E309" t="s">
        <v>733</v>
      </c>
      <c r="F309" t="s">
        <v>823</v>
      </c>
      <c r="G309" t="s">
        <v>89</v>
      </c>
      <c r="H309" t="s">
        <v>10</v>
      </c>
      <c r="I309">
        <v>0</v>
      </c>
      <c r="J309" t="s">
        <v>605</v>
      </c>
      <c r="K309" s="9">
        <v>2.724424</v>
      </c>
      <c r="M309" s="9">
        <v>1.025991</v>
      </c>
      <c r="N309" t="s">
        <v>14</v>
      </c>
      <c r="O309" s="9">
        <v>7.2</v>
      </c>
      <c r="X309" s="10" t="s">
        <v>428</v>
      </c>
      <c r="Y309" s="11" t="s">
        <v>836</v>
      </c>
      <c r="Z309" t="s">
        <v>522</v>
      </c>
    </row>
    <row r="310" spans="1:26">
      <c r="A310">
        <v>333</v>
      </c>
      <c r="B310" t="s">
        <v>821</v>
      </c>
      <c r="C310" t="s">
        <v>821</v>
      </c>
      <c r="D310" t="s">
        <v>822</v>
      </c>
      <c r="E310" t="s">
        <v>733</v>
      </c>
      <c r="F310" t="s">
        <v>823</v>
      </c>
      <c r="G310" t="s">
        <v>93</v>
      </c>
      <c r="H310" t="s">
        <v>10</v>
      </c>
      <c r="I310">
        <v>0</v>
      </c>
      <c r="J310" t="s">
        <v>599</v>
      </c>
      <c r="K310" s="9">
        <v>2.983887</v>
      </c>
      <c r="M310" s="9">
        <v>0.978795</v>
      </c>
      <c r="N310" t="s">
        <v>14</v>
      </c>
      <c r="O310" s="9">
        <v>6.89</v>
      </c>
      <c r="X310" s="10" t="s">
        <v>428</v>
      </c>
      <c r="Y310" s="11" t="s">
        <v>837</v>
      </c>
      <c r="Z310" t="s">
        <v>522</v>
      </c>
    </row>
    <row r="311" spans="1:26">
      <c r="A311">
        <v>334</v>
      </c>
      <c r="B311" t="s">
        <v>821</v>
      </c>
      <c r="C311" t="s">
        <v>821</v>
      </c>
      <c r="D311" t="s">
        <v>822</v>
      </c>
      <c r="E311" t="s">
        <v>733</v>
      </c>
      <c r="F311" t="s">
        <v>823</v>
      </c>
      <c r="G311" t="s">
        <v>98</v>
      </c>
      <c r="H311" t="s">
        <v>10</v>
      </c>
      <c r="I311">
        <v>0</v>
      </c>
      <c r="J311" t="s">
        <v>601</v>
      </c>
      <c r="K311" s="9">
        <v>2.288676</v>
      </c>
      <c r="M311" s="9">
        <v>0.978795</v>
      </c>
      <c r="N311" t="s">
        <v>14</v>
      </c>
      <c r="O311" s="9">
        <v>4.83</v>
      </c>
      <c r="X311" s="10" t="s">
        <v>428</v>
      </c>
      <c r="Y311" s="11" t="s">
        <v>838</v>
      </c>
      <c r="Z311" t="s">
        <v>522</v>
      </c>
    </row>
    <row r="312" spans="1:26">
      <c r="A312">
        <v>335</v>
      </c>
      <c r="B312" t="s">
        <v>821</v>
      </c>
      <c r="C312" t="s">
        <v>821</v>
      </c>
      <c r="D312" t="s">
        <v>822</v>
      </c>
      <c r="E312" t="s">
        <v>733</v>
      </c>
      <c r="F312" t="s">
        <v>823</v>
      </c>
      <c r="G312" t="s">
        <v>103</v>
      </c>
      <c r="H312" t="s">
        <v>10</v>
      </c>
      <c r="I312">
        <v>0</v>
      </c>
      <c r="J312" t="s">
        <v>839</v>
      </c>
      <c r="K312" s="9">
        <v>2.486739</v>
      </c>
      <c r="M312" s="9">
        <v>0.805374</v>
      </c>
      <c r="N312" t="s">
        <v>14</v>
      </c>
      <c r="X312" s="10" t="s">
        <v>829</v>
      </c>
      <c r="Y312" s="11" t="s">
        <v>840</v>
      </c>
      <c r="Z312" t="s">
        <v>522</v>
      </c>
    </row>
    <row r="313" spans="1:26">
      <c r="A313">
        <v>336</v>
      </c>
      <c r="B313" t="s">
        <v>821</v>
      </c>
      <c r="C313" t="s">
        <v>821</v>
      </c>
      <c r="D313" t="s">
        <v>822</v>
      </c>
      <c r="E313" t="s">
        <v>733</v>
      </c>
      <c r="F313" t="s">
        <v>823</v>
      </c>
      <c r="G313" t="s">
        <v>107</v>
      </c>
      <c r="H313" t="s">
        <v>10</v>
      </c>
      <c r="I313">
        <v>0</v>
      </c>
      <c r="J313" t="s">
        <v>134</v>
      </c>
      <c r="K313" s="9">
        <v>2.396956</v>
      </c>
      <c r="M313" s="9">
        <v>0.741375</v>
      </c>
      <c r="N313" t="s">
        <v>14</v>
      </c>
      <c r="O313" s="9">
        <v>5.41</v>
      </c>
      <c r="X313" s="10" t="s">
        <v>428</v>
      </c>
      <c r="Y313" s="11" t="s">
        <v>841</v>
      </c>
      <c r="Z313" t="s">
        <v>522</v>
      </c>
    </row>
    <row r="314" spans="1:26">
      <c r="A314">
        <v>337</v>
      </c>
      <c r="B314" t="s">
        <v>821</v>
      </c>
      <c r="C314" t="s">
        <v>821</v>
      </c>
      <c r="D314" t="s">
        <v>822</v>
      </c>
      <c r="E314" t="s">
        <v>733</v>
      </c>
      <c r="F314" t="s">
        <v>823</v>
      </c>
      <c r="G314" t="s">
        <v>112</v>
      </c>
      <c r="H314" t="s">
        <v>10</v>
      </c>
      <c r="I314">
        <v>0</v>
      </c>
      <c r="J314" t="s">
        <v>607</v>
      </c>
      <c r="K314" s="9">
        <v>2.486726</v>
      </c>
      <c r="M314" s="9">
        <v>0.582534</v>
      </c>
      <c r="N314" t="s">
        <v>14</v>
      </c>
      <c r="O314" s="9">
        <v>4.28</v>
      </c>
      <c r="X314" s="10" t="s">
        <v>428</v>
      </c>
      <c r="Y314" s="11" t="s">
        <v>842</v>
      </c>
      <c r="Z314" t="s">
        <v>522</v>
      </c>
    </row>
    <row r="315" spans="1:26">
      <c r="A315">
        <v>338</v>
      </c>
      <c r="B315" t="s">
        <v>821</v>
      </c>
      <c r="C315" t="s">
        <v>821</v>
      </c>
      <c r="D315" t="s">
        <v>822</v>
      </c>
      <c r="E315" t="s">
        <v>733</v>
      </c>
      <c r="F315" t="s">
        <v>823</v>
      </c>
      <c r="G315" t="s">
        <v>116</v>
      </c>
      <c r="H315" t="s">
        <v>10</v>
      </c>
      <c r="I315">
        <v>0</v>
      </c>
      <c r="J315" t="s">
        <v>609</v>
      </c>
      <c r="K315" s="9">
        <v>2.432608</v>
      </c>
      <c r="M315" s="9">
        <v>0.582534</v>
      </c>
      <c r="N315" t="s">
        <v>14</v>
      </c>
      <c r="O315" s="9">
        <v>5.03</v>
      </c>
      <c r="X315" s="10" t="s">
        <v>428</v>
      </c>
      <c r="Y315" s="11" t="s">
        <v>843</v>
      </c>
      <c r="Z315" t="s">
        <v>522</v>
      </c>
    </row>
    <row r="316" spans="1:26">
      <c r="A316">
        <v>339</v>
      </c>
      <c r="B316" t="s">
        <v>821</v>
      </c>
      <c r="C316" t="s">
        <v>821</v>
      </c>
      <c r="D316" t="s">
        <v>822</v>
      </c>
      <c r="E316" t="s">
        <v>733</v>
      </c>
      <c r="F316" t="s">
        <v>823</v>
      </c>
      <c r="G316" t="s">
        <v>120</v>
      </c>
      <c r="H316" t="s">
        <v>10</v>
      </c>
      <c r="I316">
        <v>0</v>
      </c>
      <c r="J316" t="s">
        <v>844</v>
      </c>
      <c r="K316" s="9">
        <v>2.355137</v>
      </c>
      <c r="M316" s="9">
        <v>0.684654</v>
      </c>
      <c r="N316" t="s">
        <v>14</v>
      </c>
      <c r="X316" s="10" t="s">
        <v>829</v>
      </c>
      <c r="Y316" s="11" t="s">
        <v>845</v>
      </c>
      <c r="Z316" t="s">
        <v>522</v>
      </c>
    </row>
    <row r="317" spans="1:26">
      <c r="A317">
        <v>340</v>
      </c>
      <c r="B317" t="s">
        <v>821</v>
      </c>
      <c r="C317" t="s">
        <v>821</v>
      </c>
      <c r="D317" t="s">
        <v>822</v>
      </c>
      <c r="E317" t="s">
        <v>733</v>
      </c>
      <c r="F317" t="s">
        <v>823</v>
      </c>
      <c r="G317" t="s">
        <v>124</v>
      </c>
      <c r="H317" t="s">
        <v>10</v>
      </c>
      <c r="I317">
        <v>0</v>
      </c>
      <c r="J317" t="s">
        <v>846</v>
      </c>
      <c r="K317" s="9">
        <v>2.841541</v>
      </c>
      <c r="M317" s="9">
        <v>0.945851</v>
      </c>
      <c r="N317" t="s">
        <v>14</v>
      </c>
      <c r="O317" s="9">
        <v>7.01</v>
      </c>
      <c r="X317" s="10" t="s">
        <v>428</v>
      </c>
      <c r="Y317" s="11" t="s">
        <v>847</v>
      </c>
      <c r="Z317" t="s">
        <v>522</v>
      </c>
    </row>
    <row r="318" spans="1:26">
      <c r="A318">
        <v>341</v>
      </c>
      <c r="B318" t="s">
        <v>821</v>
      </c>
      <c r="C318" t="s">
        <v>821</v>
      </c>
      <c r="D318" t="s">
        <v>822</v>
      </c>
      <c r="E318" t="s">
        <v>733</v>
      </c>
      <c r="F318" t="s">
        <v>823</v>
      </c>
      <c r="G318" t="s">
        <v>128</v>
      </c>
      <c r="H318" t="s">
        <v>10</v>
      </c>
      <c r="I318">
        <v>0</v>
      </c>
      <c r="J318" t="s">
        <v>848</v>
      </c>
      <c r="K318" s="9">
        <v>3.076851</v>
      </c>
      <c r="M318" s="9">
        <v>0.824527</v>
      </c>
      <c r="N318" t="s">
        <v>14</v>
      </c>
      <c r="O318" s="9">
        <v>6.16</v>
      </c>
      <c r="X318" s="10" t="s">
        <v>428</v>
      </c>
      <c r="Y318" s="11" t="s">
        <v>849</v>
      </c>
      <c r="Z318" t="s">
        <v>522</v>
      </c>
    </row>
    <row r="319" spans="1:26">
      <c r="A319">
        <v>342</v>
      </c>
      <c r="B319" t="s">
        <v>821</v>
      </c>
      <c r="C319" t="s">
        <v>821</v>
      </c>
      <c r="D319" t="s">
        <v>822</v>
      </c>
      <c r="E319" t="s">
        <v>733</v>
      </c>
      <c r="F319" t="s">
        <v>823</v>
      </c>
      <c r="G319" t="s">
        <v>133</v>
      </c>
      <c r="H319" t="s">
        <v>10</v>
      </c>
      <c r="I319">
        <v>0</v>
      </c>
      <c r="J319" t="s">
        <v>142</v>
      </c>
      <c r="K319" s="9">
        <v>2.35983</v>
      </c>
      <c r="M319" s="9">
        <v>0.824527</v>
      </c>
      <c r="N319" t="s">
        <v>14</v>
      </c>
      <c r="O319" s="9">
        <v>4.43</v>
      </c>
      <c r="X319" s="10" t="s">
        <v>428</v>
      </c>
      <c r="Y319" s="11" t="s">
        <v>850</v>
      </c>
      <c r="Z319" t="s">
        <v>522</v>
      </c>
    </row>
    <row r="320" spans="1:26">
      <c r="A320">
        <v>343</v>
      </c>
      <c r="B320" t="s">
        <v>821</v>
      </c>
      <c r="C320" t="s">
        <v>821</v>
      </c>
      <c r="D320" t="s">
        <v>822</v>
      </c>
      <c r="E320" t="s">
        <v>733</v>
      </c>
      <c r="F320" t="s">
        <v>823</v>
      </c>
      <c r="G320" t="s">
        <v>137</v>
      </c>
      <c r="H320" t="s">
        <v>10</v>
      </c>
      <c r="I320">
        <v>0</v>
      </c>
      <c r="J320" t="s">
        <v>851</v>
      </c>
      <c r="K320" s="9">
        <v>2.568735</v>
      </c>
      <c r="M320" s="9">
        <v>0.836446</v>
      </c>
      <c r="N320" t="s">
        <v>14</v>
      </c>
      <c r="X320" s="10" t="s">
        <v>829</v>
      </c>
      <c r="Y320" s="11" t="s">
        <v>852</v>
      </c>
      <c r="Z320" t="s">
        <v>522</v>
      </c>
    </row>
    <row r="321" spans="1:26">
      <c r="A321">
        <v>344</v>
      </c>
      <c r="B321" t="s">
        <v>821</v>
      </c>
      <c r="C321" t="s">
        <v>821</v>
      </c>
      <c r="D321" t="s">
        <v>822</v>
      </c>
      <c r="E321" t="s">
        <v>733</v>
      </c>
      <c r="F321" t="s">
        <v>823</v>
      </c>
      <c r="G321" t="s">
        <v>141</v>
      </c>
      <c r="H321" t="s">
        <v>10</v>
      </c>
      <c r="I321">
        <v>0</v>
      </c>
      <c r="J321" t="s">
        <v>846</v>
      </c>
      <c r="K321" s="9">
        <v>3.209696</v>
      </c>
      <c r="M321" s="9">
        <v>1.12104</v>
      </c>
      <c r="N321" t="s">
        <v>14</v>
      </c>
      <c r="O321" s="9">
        <v>8.470000000000001</v>
      </c>
      <c r="X321" s="10" t="s">
        <v>428</v>
      </c>
      <c r="Y321" s="11" t="s">
        <v>847</v>
      </c>
      <c r="Z321" t="s">
        <v>522</v>
      </c>
    </row>
    <row r="322" spans="1:26">
      <c r="A322">
        <v>345</v>
      </c>
      <c r="B322" t="s">
        <v>821</v>
      </c>
      <c r="C322" t="s">
        <v>821</v>
      </c>
      <c r="D322" t="s">
        <v>822</v>
      </c>
      <c r="E322" t="s">
        <v>733</v>
      </c>
      <c r="F322" t="s">
        <v>823</v>
      </c>
      <c r="G322" t="s">
        <v>146</v>
      </c>
      <c r="H322" t="s">
        <v>10</v>
      </c>
      <c r="I322">
        <v>0</v>
      </c>
      <c r="J322" t="s">
        <v>848</v>
      </c>
      <c r="K322" s="9">
        <v>3.297146</v>
      </c>
      <c r="M322" s="9">
        <v>1.145682</v>
      </c>
      <c r="N322" t="s">
        <v>14</v>
      </c>
      <c r="O322" s="9">
        <v>8.68</v>
      </c>
      <c r="X322" s="10" t="s">
        <v>428</v>
      </c>
      <c r="Y322" s="11" t="s">
        <v>849</v>
      </c>
      <c r="Z322" t="s">
        <v>522</v>
      </c>
    </row>
    <row r="323" spans="1:26">
      <c r="A323">
        <v>346</v>
      </c>
      <c r="B323" t="s">
        <v>821</v>
      </c>
      <c r="C323" t="s">
        <v>821</v>
      </c>
      <c r="D323" t="s">
        <v>822</v>
      </c>
      <c r="E323" t="s">
        <v>733</v>
      </c>
      <c r="F323" t="s">
        <v>823</v>
      </c>
      <c r="G323" t="s">
        <v>472</v>
      </c>
      <c r="H323" t="s">
        <v>10</v>
      </c>
      <c r="I323">
        <v>0</v>
      </c>
      <c r="J323" t="s">
        <v>151</v>
      </c>
      <c r="K323" s="9">
        <v>3.063029</v>
      </c>
      <c r="M323" s="9">
        <v>1.145682</v>
      </c>
      <c r="N323" t="s">
        <v>14</v>
      </c>
      <c r="O323" s="9">
        <v>8.16</v>
      </c>
      <c r="X323" s="10" t="s">
        <v>428</v>
      </c>
      <c r="Y323" s="11" t="s">
        <v>853</v>
      </c>
      <c r="Z323" t="s">
        <v>522</v>
      </c>
    </row>
    <row r="324" spans="1:26">
      <c r="A324">
        <v>347</v>
      </c>
      <c r="B324" t="s">
        <v>821</v>
      </c>
      <c r="C324" t="s">
        <v>821</v>
      </c>
      <c r="D324" t="s">
        <v>822</v>
      </c>
      <c r="E324" t="s">
        <v>733</v>
      </c>
      <c r="F324" t="s">
        <v>823</v>
      </c>
      <c r="G324" t="s">
        <v>475</v>
      </c>
      <c r="H324" t="s">
        <v>10</v>
      </c>
      <c r="I324">
        <v>0</v>
      </c>
      <c r="J324" t="s">
        <v>851</v>
      </c>
      <c r="K324" s="9">
        <v>3.174741</v>
      </c>
      <c r="M324" s="9">
        <v>1.202849</v>
      </c>
      <c r="N324" t="s">
        <v>14</v>
      </c>
      <c r="X324" s="10" t="s">
        <v>829</v>
      </c>
      <c r="Y324" s="11" t="s">
        <v>852</v>
      </c>
      <c r="Z324" t="s">
        <v>522</v>
      </c>
    </row>
    <row r="325" spans="1:26">
      <c r="A325">
        <v>348</v>
      </c>
      <c r="B325" t="s">
        <v>854</v>
      </c>
      <c r="C325" t="s">
        <v>855</v>
      </c>
      <c r="D325" t="s">
        <v>856</v>
      </c>
      <c r="E325" t="s">
        <v>733</v>
      </c>
      <c r="F325" t="s">
        <v>857</v>
      </c>
      <c r="G325" t="s">
        <v>50</v>
      </c>
      <c r="H325" t="s">
        <v>10</v>
      </c>
      <c r="I325">
        <v>0</v>
      </c>
      <c r="J325" t="s">
        <v>189</v>
      </c>
      <c r="K325" s="9">
        <v>3.17708</v>
      </c>
      <c r="L325" s="9">
        <v>0.961064</v>
      </c>
      <c r="M325" s="9">
        <v>0.823451</v>
      </c>
      <c r="N325" t="s">
        <v>14</v>
      </c>
      <c r="O325" s="9">
        <v>5.59</v>
      </c>
      <c r="S325" s="7">
        <v>47.41</v>
      </c>
      <c r="T325" s="7">
        <v>30.25</v>
      </c>
      <c r="X325" s="10" t="s">
        <v>428</v>
      </c>
      <c r="Y325" s="11" t="s">
        <v>858</v>
      </c>
      <c r="Z325" t="s">
        <v>522</v>
      </c>
    </row>
    <row r="326" spans="1:26">
      <c r="A326">
        <v>349</v>
      </c>
      <c r="B326" t="s">
        <v>854</v>
      </c>
      <c r="C326" t="s">
        <v>855</v>
      </c>
      <c r="D326" t="s">
        <v>856</v>
      </c>
      <c r="E326" t="s">
        <v>733</v>
      </c>
      <c r="F326" t="s">
        <v>857</v>
      </c>
      <c r="G326" t="s">
        <v>57</v>
      </c>
      <c r="H326" t="s">
        <v>10</v>
      </c>
      <c r="I326">
        <v>0</v>
      </c>
      <c r="J326" t="s">
        <v>192</v>
      </c>
      <c r="K326" s="9">
        <v>3.456237</v>
      </c>
      <c r="L326" s="9">
        <v>1.009724</v>
      </c>
      <c r="M326" s="9">
        <v>0.869229</v>
      </c>
      <c r="N326" t="s">
        <v>14</v>
      </c>
      <c r="O326" s="9">
        <v>5.96</v>
      </c>
      <c r="S326" s="7">
        <v>46.4</v>
      </c>
      <c r="T326" s="7">
        <v>29.21</v>
      </c>
      <c r="X326" s="10" t="s">
        <v>428</v>
      </c>
      <c r="Y326" s="11" t="s">
        <v>859</v>
      </c>
      <c r="Z326" t="s">
        <v>522</v>
      </c>
    </row>
    <row r="327" spans="1:26">
      <c r="A327">
        <v>350</v>
      </c>
      <c r="B327" t="s">
        <v>854</v>
      </c>
      <c r="C327" t="s">
        <v>855</v>
      </c>
      <c r="D327" t="s">
        <v>856</v>
      </c>
      <c r="E327" t="s">
        <v>733</v>
      </c>
      <c r="F327" t="s">
        <v>857</v>
      </c>
      <c r="G327" t="s">
        <v>62</v>
      </c>
      <c r="H327" t="s">
        <v>10</v>
      </c>
      <c r="I327">
        <v>0</v>
      </c>
      <c r="J327" t="s">
        <v>273</v>
      </c>
      <c r="K327" s="9">
        <v>2.503625</v>
      </c>
      <c r="L327" s="9">
        <v>0.694114</v>
      </c>
      <c r="M327" s="9">
        <v>0.574781</v>
      </c>
      <c r="N327" t="s">
        <v>14</v>
      </c>
      <c r="O327" s="9">
        <v>3.88</v>
      </c>
      <c r="S327" s="7">
        <v>46.61</v>
      </c>
      <c r="T327" s="7">
        <v>27.72</v>
      </c>
      <c r="X327" s="10" t="s">
        <v>428</v>
      </c>
      <c r="Y327" s="11" t="s">
        <v>860</v>
      </c>
      <c r="Z327" t="s">
        <v>522</v>
      </c>
    </row>
    <row r="328" spans="1:26">
      <c r="A328">
        <v>351</v>
      </c>
      <c r="B328" t="s">
        <v>854</v>
      </c>
      <c r="C328" t="s">
        <v>855</v>
      </c>
      <c r="D328" t="s">
        <v>856</v>
      </c>
      <c r="E328" t="s">
        <v>733</v>
      </c>
      <c r="F328" t="s">
        <v>857</v>
      </c>
      <c r="G328" t="s">
        <v>66</v>
      </c>
      <c r="H328" t="s">
        <v>10</v>
      </c>
      <c r="I328">
        <v>0</v>
      </c>
      <c r="J328" t="s">
        <v>666</v>
      </c>
      <c r="K328" s="9">
        <v>2.791864</v>
      </c>
      <c r="L328" s="9">
        <v>0.755722</v>
      </c>
      <c r="M328" s="9">
        <v>0.696673</v>
      </c>
      <c r="N328" t="s">
        <v>14</v>
      </c>
      <c r="S328" s="7">
        <v>45.86</v>
      </c>
      <c r="T328" s="7">
        <v>27.07</v>
      </c>
      <c r="X328" s="10" t="s">
        <v>483</v>
      </c>
      <c r="Y328" s="11" t="s">
        <v>861</v>
      </c>
      <c r="Z328" t="s">
        <v>522</v>
      </c>
    </row>
    <row r="329" spans="1:26">
      <c r="A329">
        <v>352</v>
      </c>
      <c r="B329" t="s">
        <v>854</v>
      </c>
      <c r="C329" t="s">
        <v>855</v>
      </c>
      <c r="D329" t="s">
        <v>856</v>
      </c>
      <c r="E329" t="s">
        <v>733</v>
      </c>
      <c r="F329" t="s">
        <v>857</v>
      </c>
      <c r="G329" t="s">
        <v>71</v>
      </c>
      <c r="H329" t="s">
        <v>10</v>
      </c>
      <c r="I329">
        <v>0</v>
      </c>
      <c r="J329" t="s">
        <v>862</v>
      </c>
      <c r="K329" s="9">
        <v>4.304465</v>
      </c>
      <c r="L329" s="9">
        <v>1.372233</v>
      </c>
      <c r="M329" s="9">
        <v>1.179744</v>
      </c>
      <c r="N329" t="s">
        <v>14</v>
      </c>
      <c r="O329" s="9">
        <v>8.27</v>
      </c>
      <c r="S329" s="7">
        <v>45.92</v>
      </c>
      <c r="T329" s="7">
        <v>31.88</v>
      </c>
      <c r="X329" s="10" t="s">
        <v>428</v>
      </c>
      <c r="Y329" s="11" t="s">
        <v>863</v>
      </c>
      <c r="Z329" t="s">
        <v>522</v>
      </c>
    </row>
    <row r="330" spans="1:26">
      <c r="A330">
        <v>353</v>
      </c>
      <c r="B330" t="s">
        <v>854</v>
      </c>
      <c r="C330" t="s">
        <v>855</v>
      </c>
      <c r="D330" t="s">
        <v>856</v>
      </c>
      <c r="E330" t="s">
        <v>733</v>
      </c>
      <c r="F330" t="s">
        <v>857</v>
      </c>
      <c r="G330" t="s">
        <v>75</v>
      </c>
      <c r="H330" t="s">
        <v>10</v>
      </c>
      <c r="I330">
        <v>0</v>
      </c>
      <c r="J330" t="s">
        <v>864</v>
      </c>
      <c r="K330" s="9">
        <v>4.226604</v>
      </c>
      <c r="L330" s="9">
        <v>1.338139</v>
      </c>
      <c r="M330" s="9">
        <v>1.19483</v>
      </c>
      <c r="N330" t="s">
        <v>14</v>
      </c>
      <c r="O330" s="9">
        <v>8.44</v>
      </c>
      <c r="S330" s="7">
        <v>46.8</v>
      </c>
      <c r="T330" s="7">
        <v>31.66</v>
      </c>
      <c r="X330" s="10" t="s">
        <v>428</v>
      </c>
      <c r="Y330" s="11" t="s">
        <v>865</v>
      </c>
      <c r="Z330" t="s">
        <v>522</v>
      </c>
    </row>
    <row r="331" spans="1:26">
      <c r="A331">
        <v>354</v>
      </c>
      <c r="B331" t="s">
        <v>854</v>
      </c>
      <c r="C331" t="s">
        <v>855</v>
      </c>
      <c r="D331" t="s">
        <v>856</v>
      </c>
      <c r="E331" t="s">
        <v>733</v>
      </c>
      <c r="F331" t="s">
        <v>857</v>
      </c>
      <c r="G331" t="s">
        <v>80</v>
      </c>
      <c r="H331" t="s">
        <v>10</v>
      </c>
      <c r="I331">
        <v>0</v>
      </c>
      <c r="J331" t="s">
        <v>195</v>
      </c>
      <c r="K331" s="9">
        <v>3.847654</v>
      </c>
      <c r="L331" s="9">
        <v>1.195308</v>
      </c>
      <c r="M331" s="9">
        <v>1.071121</v>
      </c>
      <c r="N331" t="s">
        <v>14</v>
      </c>
      <c r="O331" s="9">
        <v>7.41</v>
      </c>
      <c r="S331" s="7">
        <v>46.27</v>
      </c>
      <c r="T331" s="7">
        <v>31.07</v>
      </c>
      <c r="X331" s="10" t="s">
        <v>428</v>
      </c>
      <c r="Y331" s="11" t="s">
        <v>866</v>
      </c>
      <c r="Z331" t="s">
        <v>522</v>
      </c>
    </row>
    <row r="332" spans="1:26">
      <c r="A332">
        <v>355</v>
      </c>
      <c r="B332" t="s">
        <v>854</v>
      </c>
      <c r="C332" t="s">
        <v>855</v>
      </c>
      <c r="D332" t="s">
        <v>856</v>
      </c>
      <c r="E332" t="s">
        <v>733</v>
      </c>
      <c r="F332" t="s">
        <v>857</v>
      </c>
      <c r="G332" t="s">
        <v>85</v>
      </c>
      <c r="H332" t="s">
        <v>10</v>
      </c>
      <c r="I332">
        <v>0</v>
      </c>
      <c r="J332" t="s">
        <v>867</v>
      </c>
      <c r="K332" s="9">
        <v>4.145179</v>
      </c>
      <c r="L332" s="9">
        <v>1.315927</v>
      </c>
      <c r="M332" s="9">
        <v>1.144657</v>
      </c>
      <c r="N332" t="s">
        <v>14</v>
      </c>
      <c r="S332" s="7">
        <v>46.2</v>
      </c>
      <c r="T332" s="7">
        <v>31.75</v>
      </c>
      <c r="X332" s="10" t="s">
        <v>483</v>
      </c>
      <c r="Y332" s="11" t="s">
        <v>868</v>
      </c>
      <c r="Z332" t="s">
        <v>522</v>
      </c>
    </row>
    <row r="333" spans="1:26">
      <c r="A333">
        <v>356</v>
      </c>
      <c r="B333" t="s">
        <v>854</v>
      </c>
      <c r="C333" t="s">
        <v>855</v>
      </c>
      <c r="D333" t="s">
        <v>856</v>
      </c>
      <c r="E333" t="s">
        <v>733</v>
      </c>
      <c r="F333" t="s">
        <v>857</v>
      </c>
      <c r="G333" t="s">
        <v>89</v>
      </c>
      <c r="H333" t="s">
        <v>10</v>
      </c>
      <c r="I333">
        <v>0</v>
      </c>
      <c r="J333" t="s">
        <v>869</v>
      </c>
      <c r="K333" s="9">
        <v>5.074121</v>
      </c>
      <c r="L333" s="9">
        <v>1.69784</v>
      </c>
      <c r="M333" s="9">
        <v>1.425879</v>
      </c>
      <c r="N333" t="s">
        <v>14</v>
      </c>
      <c r="O333" s="9">
        <v>10.39</v>
      </c>
      <c r="S333" s="7">
        <v>46.05</v>
      </c>
      <c r="T333" s="7">
        <v>33.46</v>
      </c>
      <c r="X333" s="10" t="s">
        <v>428</v>
      </c>
      <c r="Y333" s="11" t="s">
        <v>870</v>
      </c>
      <c r="Z333" t="s">
        <v>522</v>
      </c>
    </row>
    <row r="334" spans="1:26">
      <c r="A334">
        <v>357</v>
      </c>
      <c r="B334" t="s">
        <v>854</v>
      </c>
      <c r="C334" t="s">
        <v>855</v>
      </c>
      <c r="D334" t="s">
        <v>856</v>
      </c>
      <c r="E334" t="s">
        <v>733</v>
      </c>
      <c r="F334" t="s">
        <v>857</v>
      </c>
      <c r="G334" t="s">
        <v>93</v>
      </c>
      <c r="H334" t="s">
        <v>10</v>
      </c>
      <c r="I334">
        <v>0</v>
      </c>
      <c r="J334" t="s">
        <v>871</v>
      </c>
      <c r="K334" s="9">
        <v>5.277569</v>
      </c>
      <c r="L334" s="9">
        <v>1.680162</v>
      </c>
      <c r="M334" s="9">
        <v>1.468507</v>
      </c>
      <c r="N334" t="s">
        <v>14</v>
      </c>
      <c r="O334" s="9">
        <v>10.77</v>
      </c>
      <c r="S334" s="7">
        <v>45.03</v>
      </c>
      <c r="T334" s="7">
        <v>31.84</v>
      </c>
      <c r="X334" s="10" t="s">
        <v>428</v>
      </c>
      <c r="Y334" s="11" t="s">
        <v>872</v>
      </c>
      <c r="Z334" t="s">
        <v>522</v>
      </c>
    </row>
    <row r="335" spans="1:26">
      <c r="A335">
        <v>358</v>
      </c>
      <c r="B335" t="s">
        <v>854</v>
      </c>
      <c r="C335" t="s">
        <v>855</v>
      </c>
      <c r="D335" t="s">
        <v>856</v>
      </c>
      <c r="E335" t="s">
        <v>733</v>
      </c>
      <c r="F335" t="s">
        <v>857</v>
      </c>
      <c r="G335" t="s">
        <v>98</v>
      </c>
      <c r="H335" t="s">
        <v>10</v>
      </c>
      <c r="I335">
        <v>0</v>
      </c>
      <c r="J335" t="s">
        <v>873</v>
      </c>
      <c r="K335" s="9">
        <v>4.060416</v>
      </c>
      <c r="L335" s="9">
        <v>1.192097</v>
      </c>
      <c r="M335" s="9">
        <v>1.021778</v>
      </c>
      <c r="N335" t="s">
        <v>14</v>
      </c>
      <c r="O335" s="9">
        <v>7.3</v>
      </c>
      <c r="S335" s="7">
        <v>44.74</v>
      </c>
      <c r="T335" s="7">
        <v>29.36</v>
      </c>
      <c r="X335" s="10" t="s">
        <v>428</v>
      </c>
      <c r="Y335" s="11" t="s">
        <v>874</v>
      </c>
      <c r="Z335" t="s">
        <v>522</v>
      </c>
    </row>
    <row r="336" spans="1:26">
      <c r="A336">
        <v>359</v>
      </c>
      <c r="B336" t="s">
        <v>854</v>
      </c>
      <c r="C336" t="s">
        <v>855</v>
      </c>
      <c r="D336" t="s">
        <v>856</v>
      </c>
      <c r="E336" t="s">
        <v>733</v>
      </c>
      <c r="F336" t="s">
        <v>857</v>
      </c>
      <c r="G336" t="s">
        <v>103</v>
      </c>
      <c r="H336" t="s">
        <v>10</v>
      </c>
      <c r="I336">
        <v>0</v>
      </c>
      <c r="J336" t="s">
        <v>875</v>
      </c>
      <c r="K336" s="9">
        <v>4.635554</v>
      </c>
      <c r="L336" s="9">
        <v>1.479353</v>
      </c>
      <c r="M336" s="9">
        <v>1.208934</v>
      </c>
      <c r="N336" t="s">
        <v>14</v>
      </c>
      <c r="S336" s="7">
        <v>45.31</v>
      </c>
      <c r="T336" s="7">
        <v>31.91</v>
      </c>
      <c r="X336" s="10" t="s">
        <v>483</v>
      </c>
      <c r="Y336" s="11" t="s">
        <v>876</v>
      </c>
      <c r="Z336" t="s">
        <v>522</v>
      </c>
    </row>
    <row r="337" spans="1:26">
      <c r="A337">
        <v>360</v>
      </c>
      <c r="B337" t="s">
        <v>854</v>
      </c>
      <c r="C337" t="s">
        <v>855</v>
      </c>
      <c r="D337" t="s">
        <v>856</v>
      </c>
      <c r="E337" t="s">
        <v>733</v>
      </c>
      <c r="F337" t="s">
        <v>857</v>
      </c>
      <c r="G337" t="s">
        <v>107</v>
      </c>
      <c r="H337" t="s">
        <v>10</v>
      </c>
      <c r="I337">
        <v>0</v>
      </c>
      <c r="J337" t="s">
        <v>877</v>
      </c>
      <c r="K337" s="9">
        <v>3.482062</v>
      </c>
      <c r="L337" s="9">
        <v>1.023029</v>
      </c>
      <c r="M337" s="9">
        <v>0.887398</v>
      </c>
      <c r="N337" t="s">
        <v>14</v>
      </c>
      <c r="O337" s="9">
        <v>0.67</v>
      </c>
      <c r="S337" s="7">
        <v>47.52</v>
      </c>
      <c r="T337" s="7">
        <v>29.38</v>
      </c>
      <c r="X337" s="10" t="s">
        <v>428</v>
      </c>
      <c r="Y337" s="11" t="s">
        <v>878</v>
      </c>
      <c r="Z337" t="s">
        <v>522</v>
      </c>
    </row>
    <row r="338" spans="1:26">
      <c r="A338">
        <v>361</v>
      </c>
      <c r="B338" t="s">
        <v>854</v>
      </c>
      <c r="C338" t="s">
        <v>855</v>
      </c>
      <c r="D338" t="s">
        <v>856</v>
      </c>
      <c r="E338" t="s">
        <v>733</v>
      </c>
      <c r="F338" t="s">
        <v>857</v>
      </c>
      <c r="G338" t="s">
        <v>112</v>
      </c>
      <c r="H338" t="s">
        <v>10</v>
      </c>
      <c r="I338">
        <v>0</v>
      </c>
      <c r="J338" t="s">
        <v>607</v>
      </c>
      <c r="K338" s="9">
        <v>3.758259</v>
      </c>
      <c r="L338" s="9">
        <v>1.057212</v>
      </c>
      <c r="M338" s="9">
        <v>0.9542659999999999</v>
      </c>
      <c r="N338" t="s">
        <v>14</v>
      </c>
      <c r="O338" s="9">
        <v>0.72</v>
      </c>
      <c r="S338" s="7">
        <v>46.76</v>
      </c>
      <c r="T338" s="7">
        <v>28.13</v>
      </c>
      <c r="X338" s="10" t="s">
        <v>428</v>
      </c>
      <c r="Y338" s="11" t="s">
        <v>879</v>
      </c>
      <c r="Z338" t="s">
        <v>522</v>
      </c>
    </row>
    <row r="339" spans="1:26">
      <c r="A339">
        <v>362</v>
      </c>
      <c r="B339" t="s">
        <v>854</v>
      </c>
      <c r="C339" t="s">
        <v>855</v>
      </c>
      <c r="D339" t="s">
        <v>856</v>
      </c>
      <c r="E339" t="s">
        <v>733</v>
      </c>
      <c r="F339" t="s">
        <v>857</v>
      </c>
      <c r="G339" t="s">
        <v>116</v>
      </c>
      <c r="H339" t="s">
        <v>10</v>
      </c>
      <c r="I339">
        <v>0</v>
      </c>
      <c r="J339" t="s">
        <v>880</v>
      </c>
      <c r="K339" s="9">
        <v>3.869569</v>
      </c>
      <c r="L339" s="9">
        <v>0.942253</v>
      </c>
      <c r="M339" s="9">
        <v>0.814008</v>
      </c>
      <c r="N339" t="s">
        <v>14</v>
      </c>
      <c r="O339" s="9">
        <v>6.01</v>
      </c>
      <c r="S339" s="7">
        <v>41.49</v>
      </c>
      <c r="T339" s="7">
        <v>24.35</v>
      </c>
      <c r="X339" s="10" t="s">
        <v>428</v>
      </c>
      <c r="Y339" s="11" t="s">
        <v>881</v>
      </c>
      <c r="Z339" t="s">
        <v>522</v>
      </c>
    </row>
    <row r="340" spans="1:26">
      <c r="A340">
        <v>363</v>
      </c>
      <c r="B340" t="s">
        <v>854</v>
      </c>
      <c r="C340" t="s">
        <v>855</v>
      </c>
      <c r="D340" t="s">
        <v>856</v>
      </c>
      <c r="E340" t="s">
        <v>733</v>
      </c>
      <c r="F340" t="s">
        <v>857</v>
      </c>
      <c r="G340" t="s">
        <v>120</v>
      </c>
      <c r="H340" t="s">
        <v>10</v>
      </c>
      <c r="I340">
        <v>0</v>
      </c>
      <c r="J340" t="s">
        <v>882</v>
      </c>
      <c r="K340" s="9">
        <v>3.207257</v>
      </c>
      <c r="L340" s="9">
        <v>0.8546049999999999</v>
      </c>
      <c r="M340" s="9">
        <v>0.8025369999999999</v>
      </c>
      <c r="N340" t="s">
        <v>14</v>
      </c>
      <c r="S340" s="7">
        <v>45.46</v>
      </c>
      <c r="T340" s="7">
        <v>26.65</v>
      </c>
      <c r="X340" s="10" t="s">
        <v>483</v>
      </c>
      <c r="Y340" s="11" t="s">
        <v>883</v>
      </c>
      <c r="Z340" t="s">
        <v>522</v>
      </c>
    </row>
    <row r="341" spans="1:26">
      <c r="A341">
        <v>364</v>
      </c>
      <c r="B341" t="s">
        <v>854</v>
      </c>
      <c r="C341" t="s">
        <v>855</v>
      </c>
      <c r="D341" t="s">
        <v>856</v>
      </c>
      <c r="E341" t="s">
        <v>733</v>
      </c>
      <c r="F341" t="s">
        <v>857</v>
      </c>
      <c r="G341" t="s">
        <v>124</v>
      </c>
      <c r="H341" t="s">
        <v>10</v>
      </c>
      <c r="I341">
        <v>0</v>
      </c>
      <c r="J341" t="s">
        <v>884</v>
      </c>
      <c r="K341" s="9">
        <v>4.167976</v>
      </c>
      <c r="L341" s="9">
        <v>1.264197</v>
      </c>
      <c r="M341" s="9">
        <v>1.116444</v>
      </c>
      <c r="N341" t="s">
        <v>14</v>
      </c>
      <c r="O341" s="9">
        <v>0.86</v>
      </c>
      <c r="S341" s="7">
        <v>48.05</v>
      </c>
      <c r="T341" s="7">
        <v>30.33</v>
      </c>
      <c r="X341" s="10" t="s">
        <v>428</v>
      </c>
      <c r="Y341" s="11" t="s">
        <v>885</v>
      </c>
      <c r="Z341" t="s">
        <v>522</v>
      </c>
    </row>
    <row r="342" spans="1:26">
      <c r="A342">
        <v>365</v>
      </c>
      <c r="B342" t="s">
        <v>854</v>
      </c>
      <c r="C342" t="s">
        <v>855</v>
      </c>
      <c r="D342" t="s">
        <v>856</v>
      </c>
      <c r="E342" t="s">
        <v>733</v>
      </c>
      <c r="F342" t="s">
        <v>857</v>
      </c>
      <c r="G342" t="s">
        <v>128</v>
      </c>
      <c r="H342" t="s">
        <v>10</v>
      </c>
      <c r="I342">
        <v>0</v>
      </c>
      <c r="J342" t="s">
        <v>886</v>
      </c>
      <c r="K342" s="9">
        <v>4.376047</v>
      </c>
      <c r="L342" s="9">
        <v>1.333884</v>
      </c>
      <c r="M342" s="9">
        <v>1.191018</v>
      </c>
      <c r="N342" t="s">
        <v>14</v>
      </c>
      <c r="O342" s="9">
        <v>0.92</v>
      </c>
      <c r="S342" s="7">
        <v>47.37</v>
      </c>
      <c r="T342" s="7">
        <v>30.48</v>
      </c>
      <c r="X342" s="10" t="s">
        <v>428</v>
      </c>
      <c r="Y342" s="11" t="s">
        <v>887</v>
      </c>
      <c r="Z342" t="s">
        <v>522</v>
      </c>
    </row>
    <row r="343" spans="1:26">
      <c r="A343">
        <v>366</v>
      </c>
      <c r="B343" t="s">
        <v>854</v>
      </c>
      <c r="C343" t="s">
        <v>855</v>
      </c>
      <c r="D343" t="s">
        <v>856</v>
      </c>
      <c r="E343" t="s">
        <v>733</v>
      </c>
      <c r="F343" t="s">
        <v>857</v>
      </c>
      <c r="G343" t="s">
        <v>133</v>
      </c>
      <c r="H343" t="s">
        <v>10</v>
      </c>
      <c r="I343">
        <v>0</v>
      </c>
      <c r="J343" t="s">
        <v>617</v>
      </c>
      <c r="K343" s="9">
        <v>3.793558</v>
      </c>
      <c r="L343" s="9">
        <v>1.057112</v>
      </c>
      <c r="M343" s="9">
        <v>0.965826</v>
      </c>
      <c r="N343" t="s">
        <v>14</v>
      </c>
      <c r="O343" s="9">
        <v>0.73</v>
      </c>
      <c r="S343" s="7">
        <v>47.46</v>
      </c>
      <c r="T343" s="7">
        <v>27.87</v>
      </c>
      <c r="X343" s="10" t="s">
        <v>428</v>
      </c>
      <c r="Y343" s="11" t="s">
        <v>888</v>
      </c>
      <c r="Z343" t="s">
        <v>522</v>
      </c>
    </row>
    <row r="344" spans="1:26">
      <c r="A344">
        <v>367</v>
      </c>
      <c r="B344" t="s">
        <v>854</v>
      </c>
      <c r="C344" t="s">
        <v>855</v>
      </c>
      <c r="D344" t="s">
        <v>856</v>
      </c>
      <c r="E344" t="s">
        <v>733</v>
      </c>
      <c r="F344" t="s">
        <v>857</v>
      </c>
      <c r="G344" t="s">
        <v>137</v>
      </c>
      <c r="H344" t="s">
        <v>10</v>
      </c>
      <c r="I344">
        <v>0</v>
      </c>
      <c r="J344" t="s">
        <v>889</v>
      </c>
      <c r="K344" s="9">
        <v>3.871507</v>
      </c>
      <c r="L344" s="9">
        <v>1.12656</v>
      </c>
      <c r="M344" s="9">
        <v>1.020282</v>
      </c>
      <c r="N344" t="s">
        <v>14</v>
      </c>
      <c r="S344" s="7">
        <v>47.53</v>
      </c>
      <c r="T344" s="7">
        <v>29.1</v>
      </c>
      <c r="X344" s="10" t="s">
        <v>483</v>
      </c>
      <c r="Y344" s="11" t="s">
        <v>890</v>
      </c>
      <c r="Z344" t="s">
        <v>522</v>
      </c>
    </row>
    <row r="345" spans="1:26">
      <c r="A345">
        <v>368</v>
      </c>
      <c r="B345" t="s">
        <v>854</v>
      </c>
      <c r="C345" t="s">
        <v>855</v>
      </c>
      <c r="D345" t="s">
        <v>856</v>
      </c>
      <c r="E345" t="s">
        <v>733</v>
      </c>
      <c r="F345" t="s">
        <v>857</v>
      </c>
      <c r="G345" t="s">
        <v>141</v>
      </c>
      <c r="H345" t="s">
        <v>10</v>
      </c>
      <c r="I345">
        <v>0</v>
      </c>
      <c r="J345" t="s">
        <v>884</v>
      </c>
      <c r="K345" s="9">
        <v>5.324173</v>
      </c>
      <c r="L345" s="9">
        <v>1.829088</v>
      </c>
      <c r="M345" s="9">
        <v>1.56866</v>
      </c>
      <c r="N345" t="s">
        <v>14</v>
      </c>
      <c r="O345" s="9">
        <v>1.24</v>
      </c>
      <c r="S345" s="7">
        <v>50.43</v>
      </c>
      <c r="T345" s="7">
        <v>34.35</v>
      </c>
      <c r="X345" s="10" t="s">
        <v>428</v>
      </c>
      <c r="Y345" s="11" t="s">
        <v>885</v>
      </c>
      <c r="Z345" t="s">
        <v>522</v>
      </c>
    </row>
    <row r="346" spans="1:26">
      <c r="A346">
        <v>369</v>
      </c>
      <c r="B346" t="s">
        <v>854</v>
      </c>
      <c r="C346" t="s">
        <v>855</v>
      </c>
      <c r="D346" t="s">
        <v>856</v>
      </c>
      <c r="E346" t="s">
        <v>733</v>
      </c>
      <c r="F346" t="s">
        <v>857</v>
      </c>
      <c r="G346" t="s">
        <v>146</v>
      </c>
      <c r="H346" t="s">
        <v>10</v>
      </c>
      <c r="I346">
        <v>0</v>
      </c>
      <c r="J346" t="s">
        <v>886</v>
      </c>
      <c r="K346" s="9">
        <v>5.344791</v>
      </c>
      <c r="L346" s="9">
        <v>1.810203</v>
      </c>
      <c r="M346" s="9">
        <v>1.593994</v>
      </c>
      <c r="N346" t="s">
        <v>14</v>
      </c>
      <c r="O346" s="9">
        <v>1.26</v>
      </c>
      <c r="S346" s="7">
        <v>49.6</v>
      </c>
      <c r="T346" s="7">
        <v>33.87</v>
      </c>
      <c r="X346" s="10" t="s">
        <v>428</v>
      </c>
      <c r="Y346" s="11" t="s">
        <v>887</v>
      </c>
      <c r="Z346" t="s">
        <v>522</v>
      </c>
    </row>
    <row r="347" spans="1:26">
      <c r="A347">
        <v>370</v>
      </c>
      <c r="B347" t="s">
        <v>854</v>
      </c>
      <c r="C347" t="s">
        <v>855</v>
      </c>
      <c r="D347" t="s">
        <v>856</v>
      </c>
      <c r="E347" t="s">
        <v>733</v>
      </c>
      <c r="F347" t="s">
        <v>857</v>
      </c>
      <c r="G347" t="s">
        <v>472</v>
      </c>
      <c r="H347" t="s">
        <v>10</v>
      </c>
      <c r="I347">
        <v>0</v>
      </c>
      <c r="J347" t="s">
        <v>891</v>
      </c>
      <c r="K347" s="9">
        <v>4.720175</v>
      </c>
      <c r="L347" s="9">
        <v>1.561759</v>
      </c>
      <c r="M347" s="9">
        <v>1.330667</v>
      </c>
      <c r="N347" t="s">
        <v>14</v>
      </c>
      <c r="O347" s="9">
        <v>1.03</v>
      </c>
      <c r="S347" s="7">
        <v>49.02</v>
      </c>
      <c r="T347" s="7">
        <v>33.09</v>
      </c>
      <c r="X347" s="10" t="s">
        <v>428</v>
      </c>
      <c r="Y347" s="11" t="s">
        <v>892</v>
      </c>
      <c r="Z347" t="s">
        <v>522</v>
      </c>
    </row>
    <row r="348" spans="1:26">
      <c r="A348">
        <v>371</v>
      </c>
      <c r="B348" t="s">
        <v>854</v>
      </c>
      <c r="C348" t="s">
        <v>855</v>
      </c>
      <c r="D348" t="s">
        <v>856</v>
      </c>
      <c r="E348" t="s">
        <v>733</v>
      </c>
      <c r="F348" t="s">
        <v>857</v>
      </c>
      <c r="G348" t="s">
        <v>475</v>
      </c>
      <c r="H348" t="s">
        <v>10</v>
      </c>
      <c r="I348">
        <v>0</v>
      </c>
      <c r="J348" t="s">
        <v>889</v>
      </c>
      <c r="K348" s="9">
        <v>5.171393</v>
      </c>
      <c r="L348" s="9">
        <v>1.741128</v>
      </c>
      <c r="M348" s="9">
        <v>1.720088</v>
      </c>
      <c r="N348" t="s">
        <v>14</v>
      </c>
      <c r="S348" s="7">
        <v>50.08</v>
      </c>
      <c r="T348" s="7">
        <v>33.67</v>
      </c>
      <c r="X348" s="10" t="s">
        <v>483</v>
      </c>
      <c r="Y348" s="11" t="s">
        <v>890</v>
      </c>
      <c r="Z348" t="s">
        <v>522</v>
      </c>
    </row>
    <row r="349" spans="1:26">
      <c r="A349">
        <v>79</v>
      </c>
      <c r="B349" t="s">
        <v>893</v>
      </c>
      <c r="C349" t="s">
        <v>893</v>
      </c>
      <c r="D349" t="s">
        <v>893</v>
      </c>
      <c r="E349" t="s">
        <v>733</v>
      </c>
      <c r="F349" t="s">
        <v>894</v>
      </c>
      <c r="G349" t="s">
        <v>50</v>
      </c>
      <c r="H349" t="s">
        <v>10</v>
      </c>
      <c r="I349">
        <v>0</v>
      </c>
      <c r="J349" t="s">
        <v>895</v>
      </c>
      <c r="K349" s="9">
        <v>10.31</v>
      </c>
      <c r="L349" s="9">
        <v>4.28</v>
      </c>
      <c r="M349" s="9">
        <v>3.89</v>
      </c>
      <c r="N349" t="s">
        <v>14</v>
      </c>
      <c r="O349" s="9">
        <v>0.75</v>
      </c>
      <c r="P349" s="9">
        <v>0.72</v>
      </c>
      <c r="Q349" s="9">
        <v>10</v>
      </c>
      <c r="R349" t="s">
        <v>59</v>
      </c>
      <c r="S349" s="7">
        <v>51.8</v>
      </c>
      <c r="V349" s="10" t="s">
        <v>896</v>
      </c>
      <c r="X349" s="10" t="s">
        <v>897</v>
      </c>
      <c r="Y349" s="10" t="s">
        <v>898</v>
      </c>
      <c r="Z349" t="s">
        <v>56</v>
      </c>
    </row>
    <row r="350" spans="1:26">
      <c r="A350">
        <v>80</v>
      </c>
      <c r="B350" t="s">
        <v>893</v>
      </c>
      <c r="C350" t="s">
        <v>893</v>
      </c>
      <c r="D350" t="s">
        <v>893</v>
      </c>
      <c r="E350" t="s">
        <v>733</v>
      </c>
      <c r="F350" t="s">
        <v>894</v>
      </c>
      <c r="G350" t="s">
        <v>57</v>
      </c>
      <c r="H350" t="s">
        <v>10</v>
      </c>
      <c r="I350">
        <v>0</v>
      </c>
      <c r="J350" t="s">
        <v>899</v>
      </c>
      <c r="K350" s="9">
        <v>10.38</v>
      </c>
      <c r="L350" s="9">
        <v>4.38</v>
      </c>
      <c r="M350" s="9">
        <v>4.02</v>
      </c>
      <c r="N350" t="s">
        <v>14</v>
      </c>
      <c r="O350" s="9">
        <v>0.78</v>
      </c>
      <c r="P350" s="9">
        <v>0.74</v>
      </c>
      <c r="Q350" s="9">
        <v>10.1</v>
      </c>
      <c r="R350" t="s">
        <v>59</v>
      </c>
      <c r="S350" s="7">
        <v>53</v>
      </c>
      <c r="V350" s="10" t="s">
        <v>900</v>
      </c>
      <c r="X350" s="10" t="s">
        <v>901</v>
      </c>
      <c r="Y350" s="10" t="s">
        <v>902</v>
      </c>
      <c r="Z350" t="s">
        <v>56</v>
      </c>
    </row>
    <row r="351" spans="1:26">
      <c r="A351">
        <v>81</v>
      </c>
      <c r="B351" t="s">
        <v>893</v>
      </c>
      <c r="C351" t="s">
        <v>893</v>
      </c>
      <c r="D351" t="s">
        <v>893</v>
      </c>
      <c r="E351" t="s">
        <v>733</v>
      </c>
      <c r="F351" t="s">
        <v>894</v>
      </c>
      <c r="G351" t="s">
        <v>62</v>
      </c>
      <c r="H351" t="s">
        <v>10</v>
      </c>
      <c r="I351">
        <v>0</v>
      </c>
      <c r="J351" t="s">
        <v>903</v>
      </c>
      <c r="K351" s="9">
        <v>12.14</v>
      </c>
      <c r="L351" s="9">
        <v>5.11</v>
      </c>
      <c r="M351" s="9">
        <v>4.67</v>
      </c>
      <c r="N351" t="s">
        <v>14</v>
      </c>
      <c r="O351" s="9">
        <v>0.9</v>
      </c>
      <c r="P351" s="9">
        <v>0.85</v>
      </c>
      <c r="Q351" s="9">
        <v>11.5</v>
      </c>
      <c r="R351" t="s">
        <v>59</v>
      </c>
      <c r="S351" s="7">
        <v>53.4</v>
      </c>
      <c r="V351" s="10" t="s">
        <v>904</v>
      </c>
      <c r="X351" s="10" t="s">
        <v>905</v>
      </c>
      <c r="Y351" s="10" t="s">
        <v>906</v>
      </c>
      <c r="Z351" t="s">
        <v>56</v>
      </c>
    </row>
    <row r="352" spans="1:26">
      <c r="A352">
        <v>82</v>
      </c>
      <c r="B352" t="s">
        <v>893</v>
      </c>
      <c r="C352" t="s">
        <v>893</v>
      </c>
      <c r="D352" t="s">
        <v>893</v>
      </c>
      <c r="E352" t="s">
        <v>733</v>
      </c>
      <c r="F352" t="s">
        <v>894</v>
      </c>
      <c r="G352" t="s">
        <v>66</v>
      </c>
      <c r="H352" t="s">
        <v>10</v>
      </c>
      <c r="I352">
        <v>0</v>
      </c>
      <c r="J352" t="s">
        <v>907</v>
      </c>
      <c r="K352" s="9">
        <v>12.68</v>
      </c>
      <c r="L352" s="9">
        <v>5.26</v>
      </c>
      <c r="M352" s="9">
        <v>4.97</v>
      </c>
      <c r="N352" t="s">
        <v>14</v>
      </c>
      <c r="O352" s="9">
        <v>0.97</v>
      </c>
      <c r="P352" s="9">
        <v>0.92</v>
      </c>
      <c r="Q352" s="9">
        <v>12.3</v>
      </c>
      <c r="R352" t="s">
        <v>59</v>
      </c>
      <c r="S352" s="7">
        <v>54</v>
      </c>
      <c r="V352" s="10" t="s">
        <v>908</v>
      </c>
      <c r="X352" s="10" t="s">
        <v>909</v>
      </c>
      <c r="Y352" s="10" t="s">
        <v>910</v>
      </c>
      <c r="Z352" t="s">
        <v>56</v>
      </c>
    </row>
    <row r="353" spans="1:26">
      <c r="A353">
        <v>83</v>
      </c>
      <c r="B353" t="s">
        <v>893</v>
      </c>
      <c r="C353" t="s">
        <v>893</v>
      </c>
      <c r="D353" t="s">
        <v>893</v>
      </c>
      <c r="E353" t="s">
        <v>733</v>
      </c>
      <c r="F353" t="s">
        <v>894</v>
      </c>
      <c r="G353" t="s">
        <v>71</v>
      </c>
      <c r="H353" t="s">
        <v>10</v>
      </c>
      <c r="I353">
        <v>0</v>
      </c>
      <c r="J353" t="s">
        <v>911</v>
      </c>
      <c r="K353" s="9">
        <v>12.92</v>
      </c>
      <c r="L353" s="9">
        <v>5.36</v>
      </c>
      <c r="M353" s="9">
        <v>4.93</v>
      </c>
      <c r="N353" t="s">
        <v>14</v>
      </c>
      <c r="O353" s="9">
        <v>0.96</v>
      </c>
      <c r="P353" s="9">
        <v>0.9399999999999999</v>
      </c>
      <c r="Q353" s="9">
        <v>12.7</v>
      </c>
      <c r="R353" t="s">
        <v>59</v>
      </c>
      <c r="S353" s="7">
        <v>52.4</v>
      </c>
      <c r="V353" s="10" t="s">
        <v>912</v>
      </c>
      <c r="X353" s="10" t="s">
        <v>913</v>
      </c>
      <c r="Y353" s="10" t="s">
        <v>914</v>
      </c>
      <c r="Z353" t="s">
        <v>56</v>
      </c>
    </row>
    <row r="354" spans="1:26">
      <c r="A354">
        <v>84</v>
      </c>
      <c r="B354" t="s">
        <v>893</v>
      </c>
      <c r="C354" t="s">
        <v>893</v>
      </c>
      <c r="D354" t="s">
        <v>893</v>
      </c>
      <c r="E354" t="s">
        <v>733</v>
      </c>
      <c r="F354" t="s">
        <v>894</v>
      </c>
      <c r="G354" t="s">
        <v>75</v>
      </c>
      <c r="H354" t="s">
        <v>10</v>
      </c>
      <c r="I354">
        <v>0</v>
      </c>
      <c r="J354" t="s">
        <v>915</v>
      </c>
      <c r="K354" s="9">
        <v>13.29</v>
      </c>
      <c r="L354" s="9">
        <v>5.2</v>
      </c>
      <c r="M354" s="9">
        <v>4.8</v>
      </c>
      <c r="N354" t="s">
        <v>14</v>
      </c>
      <c r="O354" s="9">
        <v>0.93</v>
      </c>
      <c r="P354" s="9">
        <v>0.91</v>
      </c>
      <c r="Q354" s="9">
        <v>13</v>
      </c>
      <c r="R354" t="s">
        <v>100</v>
      </c>
      <c r="S354" s="7">
        <v>50</v>
      </c>
      <c r="V354" s="10" t="s">
        <v>916</v>
      </c>
      <c r="X354" s="10" t="s">
        <v>917</v>
      </c>
      <c r="Y354" s="10" t="s">
        <v>918</v>
      </c>
      <c r="Z354" t="s">
        <v>56</v>
      </c>
    </row>
    <row r="355" spans="1:26">
      <c r="A355">
        <v>85</v>
      </c>
      <c r="B355" t="s">
        <v>893</v>
      </c>
      <c r="C355" t="s">
        <v>893</v>
      </c>
      <c r="D355" t="s">
        <v>893</v>
      </c>
      <c r="E355" t="s">
        <v>733</v>
      </c>
      <c r="F355" t="s">
        <v>894</v>
      </c>
      <c r="G355" t="s">
        <v>80</v>
      </c>
      <c r="H355" t="s">
        <v>10</v>
      </c>
      <c r="I355">
        <v>0</v>
      </c>
      <c r="J355" t="s">
        <v>919</v>
      </c>
      <c r="K355" s="9">
        <v>14.88</v>
      </c>
      <c r="L355" s="9">
        <v>6.13</v>
      </c>
      <c r="M355" s="9">
        <v>5.61</v>
      </c>
      <c r="N355" t="s">
        <v>14</v>
      </c>
      <c r="O355" s="9">
        <v>1.08</v>
      </c>
      <c r="P355" s="9">
        <v>1.05</v>
      </c>
      <c r="Q355" s="9">
        <v>14.5</v>
      </c>
      <c r="R355" t="s">
        <v>59</v>
      </c>
      <c r="S355" s="7">
        <v>51.3</v>
      </c>
      <c r="V355" s="10" t="s">
        <v>920</v>
      </c>
      <c r="X355" s="10" t="s">
        <v>921</v>
      </c>
      <c r="Y355" s="10" t="s">
        <v>922</v>
      </c>
      <c r="Z355" t="s">
        <v>56</v>
      </c>
    </row>
    <row r="356" spans="1:26">
      <c r="A356">
        <v>86</v>
      </c>
      <c r="B356" t="s">
        <v>893</v>
      </c>
      <c r="C356" t="s">
        <v>893</v>
      </c>
      <c r="D356" t="s">
        <v>893</v>
      </c>
      <c r="E356" t="s">
        <v>733</v>
      </c>
      <c r="F356" t="s">
        <v>894</v>
      </c>
      <c r="G356" t="s">
        <v>85</v>
      </c>
      <c r="H356" t="s">
        <v>10</v>
      </c>
      <c r="I356">
        <v>0</v>
      </c>
      <c r="J356" t="s">
        <v>923</v>
      </c>
      <c r="K356" s="9">
        <v>15.74</v>
      </c>
      <c r="L356" s="9">
        <v>6.56</v>
      </c>
      <c r="M356" s="9">
        <v>5.98</v>
      </c>
      <c r="N356" t="s">
        <v>14</v>
      </c>
      <c r="O356" s="9">
        <v>1.15</v>
      </c>
      <c r="P356" s="9">
        <v>1.12</v>
      </c>
      <c r="Q356" s="9">
        <v>15.4</v>
      </c>
      <c r="R356" t="s">
        <v>59</v>
      </c>
      <c r="S356" s="7">
        <v>52.7</v>
      </c>
      <c r="V356" s="10" t="s">
        <v>924</v>
      </c>
      <c r="X356" s="10" t="s">
        <v>925</v>
      </c>
      <c r="Y356" s="10" t="s">
        <v>926</v>
      </c>
      <c r="Z356" t="s">
        <v>56</v>
      </c>
    </row>
    <row r="357" spans="1:26">
      <c r="A357">
        <v>87</v>
      </c>
      <c r="B357" t="s">
        <v>893</v>
      </c>
      <c r="C357" t="s">
        <v>893</v>
      </c>
      <c r="D357" t="s">
        <v>893</v>
      </c>
      <c r="E357" t="s">
        <v>733</v>
      </c>
      <c r="F357" t="s">
        <v>894</v>
      </c>
      <c r="G357" t="s">
        <v>89</v>
      </c>
      <c r="H357" t="s">
        <v>10</v>
      </c>
      <c r="I357">
        <v>0</v>
      </c>
      <c r="J357" t="s">
        <v>927</v>
      </c>
      <c r="K357" s="9">
        <v>17.57</v>
      </c>
      <c r="L357" s="9">
        <v>7.97</v>
      </c>
      <c r="M357" s="9">
        <v>7.02</v>
      </c>
      <c r="N357" t="s">
        <v>14</v>
      </c>
      <c r="O357" s="9">
        <v>1.35</v>
      </c>
      <c r="P357" s="9">
        <v>1.3</v>
      </c>
      <c r="Q357" s="9">
        <v>17.1</v>
      </c>
      <c r="R357" t="s">
        <v>59</v>
      </c>
      <c r="S357" s="7">
        <v>55.6</v>
      </c>
      <c r="V357" s="10" t="s">
        <v>928</v>
      </c>
      <c r="X357" s="10" t="s">
        <v>929</v>
      </c>
      <c r="Y357" s="10" t="s">
        <v>930</v>
      </c>
      <c r="Z357" t="s">
        <v>56</v>
      </c>
    </row>
    <row r="358" spans="1:26">
      <c r="A358">
        <v>88</v>
      </c>
      <c r="B358" t="s">
        <v>893</v>
      </c>
      <c r="C358" t="s">
        <v>893</v>
      </c>
      <c r="D358" t="s">
        <v>893</v>
      </c>
      <c r="E358" t="s">
        <v>733</v>
      </c>
      <c r="F358" t="s">
        <v>894</v>
      </c>
      <c r="G358" t="s">
        <v>93</v>
      </c>
      <c r="H358" t="s">
        <v>10</v>
      </c>
      <c r="I358">
        <v>0</v>
      </c>
      <c r="J358" t="s">
        <v>931</v>
      </c>
      <c r="K358" s="9">
        <v>18.16</v>
      </c>
      <c r="L358" s="9">
        <v>8.91</v>
      </c>
      <c r="M358" s="9">
        <v>7.94</v>
      </c>
      <c r="N358" t="s">
        <v>14</v>
      </c>
      <c r="O358" s="9">
        <v>1.55</v>
      </c>
      <c r="P358" s="9">
        <v>1.48</v>
      </c>
      <c r="Q358" s="9">
        <v>17.8</v>
      </c>
      <c r="R358" t="s">
        <v>59</v>
      </c>
      <c r="S358" s="7">
        <v>59.1</v>
      </c>
      <c r="V358" s="10" t="s">
        <v>932</v>
      </c>
      <c r="X358" s="10" t="s">
        <v>933</v>
      </c>
      <c r="Y358" s="10" t="s">
        <v>934</v>
      </c>
      <c r="Z358" t="s">
        <v>56</v>
      </c>
    </row>
    <row r="359" spans="1:26">
      <c r="A359">
        <v>89</v>
      </c>
      <c r="B359" t="s">
        <v>893</v>
      </c>
      <c r="C359" t="s">
        <v>893</v>
      </c>
      <c r="D359" t="s">
        <v>893</v>
      </c>
      <c r="E359" t="s">
        <v>733</v>
      </c>
      <c r="F359" t="s">
        <v>894</v>
      </c>
      <c r="G359" t="s">
        <v>98</v>
      </c>
      <c r="H359" t="s">
        <v>10</v>
      </c>
      <c r="I359">
        <v>0</v>
      </c>
      <c r="J359" t="s">
        <v>935</v>
      </c>
      <c r="K359" s="9">
        <v>20.23</v>
      </c>
      <c r="L359" s="9">
        <v>10.23</v>
      </c>
      <c r="M359" s="9">
        <v>8.91</v>
      </c>
      <c r="N359" t="s">
        <v>14</v>
      </c>
      <c r="O359" s="9">
        <v>1.79</v>
      </c>
      <c r="P359" s="9">
        <v>1.68</v>
      </c>
      <c r="Q359" s="9">
        <v>19.8</v>
      </c>
      <c r="R359" t="s">
        <v>59</v>
      </c>
      <c r="S359" s="7">
        <v>60.4</v>
      </c>
      <c r="V359" s="10" t="s">
        <v>936</v>
      </c>
      <c r="X359" s="10" t="s">
        <v>937</v>
      </c>
      <c r="Y359" s="10" t="s">
        <v>938</v>
      </c>
      <c r="Z359" t="s">
        <v>56</v>
      </c>
    </row>
    <row r="360" spans="1:26">
      <c r="A360">
        <v>90</v>
      </c>
      <c r="B360" t="s">
        <v>893</v>
      </c>
      <c r="C360" t="s">
        <v>893</v>
      </c>
      <c r="D360" t="s">
        <v>893</v>
      </c>
      <c r="E360" t="s">
        <v>733</v>
      </c>
      <c r="F360" t="s">
        <v>894</v>
      </c>
      <c r="G360" t="s">
        <v>103</v>
      </c>
      <c r="H360" t="s">
        <v>10</v>
      </c>
      <c r="I360">
        <v>0</v>
      </c>
      <c r="J360" t="s">
        <v>939</v>
      </c>
      <c r="K360" s="9">
        <v>19.93</v>
      </c>
      <c r="L360" s="9">
        <v>10.36</v>
      </c>
      <c r="M360" s="9">
        <v>9.43</v>
      </c>
      <c r="N360" t="s">
        <v>14</v>
      </c>
      <c r="O360" s="9">
        <v>1.82</v>
      </c>
      <c r="P360" s="9">
        <v>1.76</v>
      </c>
      <c r="Q360" s="9">
        <v>19.5</v>
      </c>
      <c r="R360" t="s">
        <v>59</v>
      </c>
      <c r="S360" s="7">
        <v>62.2</v>
      </c>
      <c r="V360" s="10" t="s">
        <v>940</v>
      </c>
      <c r="X360" s="10" t="s">
        <v>941</v>
      </c>
      <c r="Y360" s="10" t="s">
        <v>942</v>
      </c>
      <c r="Z360" t="s">
        <v>56</v>
      </c>
    </row>
    <row r="361" spans="1:26">
      <c r="A361">
        <v>91</v>
      </c>
      <c r="B361" t="s">
        <v>893</v>
      </c>
      <c r="C361" t="s">
        <v>893</v>
      </c>
      <c r="D361" t="s">
        <v>893</v>
      </c>
      <c r="E361" t="s">
        <v>733</v>
      </c>
      <c r="F361" t="s">
        <v>894</v>
      </c>
      <c r="G361" t="s">
        <v>107</v>
      </c>
      <c r="H361" t="s">
        <v>10</v>
      </c>
      <c r="I361">
        <v>0</v>
      </c>
      <c r="J361" t="s">
        <v>943</v>
      </c>
      <c r="K361" s="9">
        <v>16.72</v>
      </c>
      <c r="L361" s="9">
        <v>7.6</v>
      </c>
      <c r="M361" s="9">
        <v>6.76</v>
      </c>
      <c r="N361" t="s">
        <v>14</v>
      </c>
      <c r="O361" s="9">
        <v>1.31</v>
      </c>
      <c r="P361" s="9">
        <v>1.28</v>
      </c>
      <c r="Q361" s="9">
        <v>16.5</v>
      </c>
      <c r="R361" t="s">
        <v>59</v>
      </c>
      <c r="S361" s="7">
        <v>56.3</v>
      </c>
      <c r="V361" s="10" t="s">
        <v>944</v>
      </c>
      <c r="X361" s="10" t="s">
        <v>945</v>
      </c>
      <c r="Y361" s="10" t="s">
        <v>946</v>
      </c>
      <c r="Z361" t="s">
        <v>56</v>
      </c>
    </row>
    <row r="362" spans="1:26">
      <c r="A362">
        <v>92</v>
      </c>
      <c r="B362" t="s">
        <v>893</v>
      </c>
      <c r="C362" t="s">
        <v>893</v>
      </c>
      <c r="D362" t="s">
        <v>893</v>
      </c>
      <c r="E362" t="s">
        <v>733</v>
      </c>
      <c r="F362" t="s">
        <v>894</v>
      </c>
      <c r="G362" t="s">
        <v>112</v>
      </c>
      <c r="H362" t="s">
        <v>10</v>
      </c>
      <c r="I362">
        <v>0</v>
      </c>
      <c r="J362" t="s">
        <v>947</v>
      </c>
      <c r="K362" s="9">
        <v>15.68</v>
      </c>
      <c r="L362" s="9">
        <v>6.58</v>
      </c>
      <c r="M362" s="9">
        <v>5.93</v>
      </c>
      <c r="N362" t="s">
        <v>14</v>
      </c>
      <c r="O362" s="9">
        <v>1.14</v>
      </c>
      <c r="P362" s="9">
        <v>1.08</v>
      </c>
      <c r="Q362" s="9">
        <v>15.3</v>
      </c>
      <c r="R362" t="s">
        <v>59</v>
      </c>
      <c r="S362" s="7">
        <v>54.1</v>
      </c>
      <c r="V362" s="10" t="s">
        <v>948</v>
      </c>
      <c r="X362" s="10" t="s">
        <v>949</v>
      </c>
      <c r="Y362" s="10" t="s">
        <v>950</v>
      </c>
      <c r="Z362" t="s">
        <v>56</v>
      </c>
    </row>
    <row r="363" spans="1:26">
      <c r="A363">
        <v>93</v>
      </c>
      <c r="B363" t="s">
        <v>893</v>
      </c>
      <c r="C363" t="s">
        <v>893</v>
      </c>
      <c r="D363" t="s">
        <v>893</v>
      </c>
      <c r="E363" t="s">
        <v>733</v>
      </c>
      <c r="F363" t="s">
        <v>894</v>
      </c>
      <c r="G363" t="s">
        <v>116</v>
      </c>
      <c r="H363" t="s">
        <v>10</v>
      </c>
      <c r="I363">
        <v>0</v>
      </c>
      <c r="J363" t="s">
        <v>951</v>
      </c>
      <c r="K363" s="9">
        <v>17.28</v>
      </c>
      <c r="L363" s="9">
        <v>7.21</v>
      </c>
      <c r="M363" s="9">
        <v>6.69</v>
      </c>
      <c r="N363" t="s">
        <v>14</v>
      </c>
      <c r="O363" s="9">
        <v>1.29</v>
      </c>
      <c r="P363" s="9">
        <v>1.16</v>
      </c>
      <c r="Q363" s="9">
        <v>16.8</v>
      </c>
      <c r="R363" t="s">
        <v>59</v>
      </c>
      <c r="S363" s="7">
        <v>54.3</v>
      </c>
      <c r="V363" s="10" t="s">
        <v>952</v>
      </c>
      <c r="X363" s="10" t="s">
        <v>953</v>
      </c>
      <c r="Y363" s="10" t="s">
        <v>954</v>
      </c>
      <c r="Z363" t="s">
        <v>56</v>
      </c>
    </row>
    <row r="364" spans="1:26">
      <c r="A364">
        <v>94</v>
      </c>
      <c r="B364" t="s">
        <v>893</v>
      </c>
      <c r="C364" t="s">
        <v>893</v>
      </c>
      <c r="D364" t="s">
        <v>893</v>
      </c>
      <c r="E364" t="s">
        <v>733</v>
      </c>
      <c r="F364" t="s">
        <v>894</v>
      </c>
      <c r="G364" t="s">
        <v>120</v>
      </c>
      <c r="H364" t="s">
        <v>10</v>
      </c>
      <c r="I364">
        <v>0</v>
      </c>
      <c r="J364" t="s">
        <v>955</v>
      </c>
      <c r="K364" s="9">
        <v>19.62</v>
      </c>
      <c r="L364" s="9">
        <v>8.16</v>
      </c>
      <c r="M364" s="9">
        <v>7.56</v>
      </c>
      <c r="N364" t="s">
        <v>14</v>
      </c>
      <c r="O364" s="9">
        <v>1.44</v>
      </c>
      <c r="P364" s="9">
        <v>1.37</v>
      </c>
      <c r="Q364" s="9">
        <v>19.2</v>
      </c>
      <c r="R364" t="s">
        <v>59</v>
      </c>
      <c r="S364" s="7">
        <v>53</v>
      </c>
      <c r="V364" s="10" t="s">
        <v>956</v>
      </c>
      <c r="X364" s="10" t="s">
        <v>957</v>
      </c>
      <c r="Y364" s="10" t="s">
        <v>958</v>
      </c>
      <c r="Z364" t="s">
        <v>56</v>
      </c>
    </row>
    <row r="365" spans="1:26">
      <c r="A365">
        <v>95</v>
      </c>
      <c r="B365" t="s">
        <v>893</v>
      </c>
      <c r="C365" t="s">
        <v>893</v>
      </c>
      <c r="D365" t="s">
        <v>893</v>
      </c>
      <c r="E365" t="s">
        <v>733</v>
      </c>
      <c r="F365" t="s">
        <v>894</v>
      </c>
      <c r="G365" t="s">
        <v>124</v>
      </c>
      <c r="H365" t="s">
        <v>10</v>
      </c>
      <c r="I365">
        <v>0</v>
      </c>
      <c r="J365" t="s">
        <v>959</v>
      </c>
      <c r="K365" s="9">
        <v>18.87</v>
      </c>
      <c r="L365" s="9">
        <v>8</v>
      </c>
      <c r="M365" s="9">
        <v>7.18</v>
      </c>
      <c r="N365" t="s">
        <v>14</v>
      </c>
      <c r="O365" s="9">
        <v>1.38</v>
      </c>
      <c r="P365" s="9">
        <v>1.32</v>
      </c>
      <c r="Q365" s="9">
        <v>18.5</v>
      </c>
      <c r="R365" t="s">
        <v>59</v>
      </c>
      <c r="S365" s="7">
        <v>53.1</v>
      </c>
      <c r="V365" s="10" t="s">
        <v>960</v>
      </c>
      <c r="X365" s="10" t="s">
        <v>961</v>
      </c>
      <c r="Y365" s="10" t="s">
        <v>962</v>
      </c>
      <c r="Z365" t="s">
        <v>56</v>
      </c>
    </row>
    <row r="366" spans="1:26">
      <c r="A366">
        <v>96</v>
      </c>
      <c r="B366" t="s">
        <v>893</v>
      </c>
      <c r="C366" t="s">
        <v>893</v>
      </c>
      <c r="D366" t="s">
        <v>893</v>
      </c>
      <c r="E366" t="s">
        <v>733</v>
      </c>
      <c r="F366" t="s">
        <v>894</v>
      </c>
      <c r="G366" t="s">
        <v>128</v>
      </c>
      <c r="H366" t="s">
        <v>10</v>
      </c>
      <c r="I366">
        <v>0</v>
      </c>
      <c r="J366" t="s">
        <v>963</v>
      </c>
      <c r="K366" s="9">
        <v>20.82</v>
      </c>
      <c r="L366" s="9">
        <v>8.84</v>
      </c>
      <c r="M366" s="9">
        <v>7.66</v>
      </c>
      <c r="N366" t="s">
        <v>14</v>
      </c>
      <c r="O366" s="9">
        <v>1.48</v>
      </c>
      <c r="P366" s="9">
        <v>1.42</v>
      </c>
      <c r="Q366" s="9">
        <v>20.3</v>
      </c>
      <c r="R366" t="s">
        <v>59</v>
      </c>
      <c r="S366" s="7">
        <v>53.2</v>
      </c>
      <c r="V366" s="10" t="s">
        <v>964</v>
      </c>
      <c r="X366" s="10" t="s">
        <v>965</v>
      </c>
      <c r="Y366" s="10" t="s">
        <v>966</v>
      </c>
      <c r="Z366" t="s">
        <v>56</v>
      </c>
    </row>
    <row r="367" spans="1:26">
      <c r="A367">
        <v>97</v>
      </c>
      <c r="B367" t="s">
        <v>893</v>
      </c>
      <c r="C367" t="s">
        <v>893</v>
      </c>
      <c r="D367" t="s">
        <v>893</v>
      </c>
      <c r="E367" t="s">
        <v>733</v>
      </c>
      <c r="F367" t="s">
        <v>894</v>
      </c>
      <c r="G367" t="s">
        <v>133</v>
      </c>
      <c r="H367" t="s">
        <v>10</v>
      </c>
      <c r="I367">
        <v>0</v>
      </c>
      <c r="J367" t="s">
        <v>967</v>
      </c>
      <c r="K367" s="9">
        <v>23.5</v>
      </c>
      <c r="L367" s="9">
        <v>11.16</v>
      </c>
      <c r="M367" s="9">
        <v>10.05</v>
      </c>
      <c r="N367" t="s">
        <v>14</v>
      </c>
      <c r="O367" s="9">
        <v>1.94</v>
      </c>
      <c r="P367" s="9">
        <v>1.8</v>
      </c>
      <c r="Q367" s="9">
        <v>22.5</v>
      </c>
      <c r="R367" t="s">
        <v>59</v>
      </c>
      <c r="S367" s="7">
        <v>57.8</v>
      </c>
      <c r="V367" s="10" t="s">
        <v>968</v>
      </c>
      <c r="X367" s="10" t="s">
        <v>969</v>
      </c>
      <c r="Y367" s="10" t="s">
        <v>970</v>
      </c>
      <c r="Z367" t="s">
        <v>56</v>
      </c>
    </row>
    <row r="368" spans="1:26">
      <c r="A368">
        <v>98</v>
      </c>
      <c r="B368" t="s">
        <v>893</v>
      </c>
      <c r="C368" t="s">
        <v>893</v>
      </c>
      <c r="D368" t="s">
        <v>893</v>
      </c>
      <c r="E368" t="s">
        <v>733</v>
      </c>
      <c r="F368" t="s">
        <v>894</v>
      </c>
      <c r="G368" t="s">
        <v>137</v>
      </c>
      <c r="H368" t="s">
        <v>10</v>
      </c>
      <c r="I368">
        <v>0</v>
      </c>
      <c r="J368" t="s">
        <v>971</v>
      </c>
      <c r="K368" s="9">
        <v>26.36</v>
      </c>
      <c r="L368" s="9">
        <v>12.24</v>
      </c>
      <c r="M368" s="9">
        <v>11.03</v>
      </c>
      <c r="N368" t="s">
        <v>14</v>
      </c>
      <c r="O368" s="9">
        <v>2.24</v>
      </c>
      <c r="P368" s="9">
        <v>2.14</v>
      </c>
      <c r="Q368" s="9">
        <v>25.7</v>
      </c>
      <c r="R368" t="s">
        <v>59</v>
      </c>
      <c r="S368" s="7">
        <v>59</v>
      </c>
      <c r="V368" s="10" t="s">
        <v>972</v>
      </c>
      <c r="X368" s="10" t="s">
        <v>973</v>
      </c>
      <c r="Y368" s="10" t="s">
        <v>974</v>
      </c>
      <c r="Z368" t="s">
        <v>56</v>
      </c>
    </row>
    <row r="369" spans="1:26">
      <c r="A369">
        <v>99</v>
      </c>
      <c r="B369" t="s">
        <v>893</v>
      </c>
      <c r="C369" t="s">
        <v>893</v>
      </c>
      <c r="D369" t="s">
        <v>893</v>
      </c>
      <c r="E369" t="s">
        <v>733</v>
      </c>
      <c r="F369" t="s">
        <v>894</v>
      </c>
      <c r="G369" t="s">
        <v>141</v>
      </c>
      <c r="H369" t="s">
        <v>10</v>
      </c>
      <c r="I369">
        <v>0</v>
      </c>
      <c r="J369" t="s">
        <v>975</v>
      </c>
      <c r="K369" s="9">
        <v>25.53</v>
      </c>
      <c r="L369" s="9">
        <v>12.03</v>
      </c>
      <c r="M369" s="9">
        <v>10.82</v>
      </c>
      <c r="N369" t="s">
        <v>14</v>
      </c>
      <c r="O369" s="9">
        <v>2.12</v>
      </c>
      <c r="P369" s="9">
        <v>2.02</v>
      </c>
      <c r="Q369" s="9">
        <v>24.8</v>
      </c>
      <c r="R369" t="s">
        <v>59</v>
      </c>
      <c r="S369" s="7">
        <v>58.4</v>
      </c>
      <c r="V369" s="10" t="s">
        <v>976</v>
      </c>
      <c r="X369" s="10" t="s">
        <v>977</v>
      </c>
      <c r="Y369" s="10" t="s">
        <v>978</v>
      </c>
      <c r="Z369" t="s">
        <v>56</v>
      </c>
    </row>
    <row r="370" spans="1:26">
      <c r="A370">
        <v>100</v>
      </c>
      <c r="B370" t="s">
        <v>893</v>
      </c>
      <c r="C370" t="s">
        <v>893</v>
      </c>
      <c r="D370" t="s">
        <v>893</v>
      </c>
      <c r="E370" t="s">
        <v>733</v>
      </c>
      <c r="F370" t="s">
        <v>894</v>
      </c>
      <c r="G370" t="s">
        <v>146</v>
      </c>
      <c r="H370" t="s">
        <v>10</v>
      </c>
      <c r="I370">
        <v>0</v>
      </c>
      <c r="J370" t="s">
        <v>979</v>
      </c>
      <c r="K370" s="9">
        <v>28.93</v>
      </c>
      <c r="L370" s="9">
        <v>14.07</v>
      </c>
      <c r="M370" s="9">
        <v>12.67</v>
      </c>
      <c r="N370" t="s">
        <v>14</v>
      </c>
      <c r="O370" s="9">
        <v>2.42</v>
      </c>
      <c r="P370" s="9">
        <v>2.3</v>
      </c>
      <c r="Q370" s="9">
        <v>27.8</v>
      </c>
      <c r="R370" t="s">
        <v>59</v>
      </c>
      <c r="S370" s="7">
        <v>58.8</v>
      </c>
      <c r="V370" s="10" t="s">
        <v>980</v>
      </c>
      <c r="X370" s="10" t="s">
        <v>981</v>
      </c>
      <c r="Y370" s="10" t="s">
        <v>982</v>
      </c>
      <c r="Z370" t="s">
        <v>56</v>
      </c>
    </row>
    <row r="371" spans="1:26">
      <c r="A371">
        <v>101</v>
      </c>
      <c r="B371" t="s">
        <v>893</v>
      </c>
      <c r="C371" t="s">
        <v>893</v>
      </c>
      <c r="D371" t="s">
        <v>893</v>
      </c>
      <c r="E371" t="s">
        <v>733</v>
      </c>
      <c r="F371" t="s">
        <v>894</v>
      </c>
      <c r="G371" t="s">
        <v>150</v>
      </c>
      <c r="H371" t="s">
        <v>10</v>
      </c>
      <c r="I371">
        <v>0</v>
      </c>
      <c r="J371" t="s">
        <v>983</v>
      </c>
      <c r="K371" s="9">
        <v>33.5</v>
      </c>
      <c r="L371" s="9">
        <v>16.4</v>
      </c>
      <c r="M371" s="9">
        <v>14.8</v>
      </c>
      <c r="N371" t="s">
        <v>14</v>
      </c>
      <c r="O371" s="9">
        <v>2.78</v>
      </c>
      <c r="P371" s="9">
        <v>2.65</v>
      </c>
      <c r="Q371" s="9">
        <v>32.5</v>
      </c>
      <c r="R371" t="s">
        <v>59</v>
      </c>
      <c r="S371" s="7">
        <v>59.2</v>
      </c>
      <c r="V371" s="10" t="s">
        <v>984</v>
      </c>
      <c r="X371" s="10" t="s">
        <v>985</v>
      </c>
      <c r="Y371" s="10" t="s">
        <v>986</v>
      </c>
      <c r="Z371" t="s">
        <v>56</v>
      </c>
    </row>
    <row r="372" spans="1:26">
      <c r="A372">
        <v>102</v>
      </c>
      <c r="B372" t="s">
        <v>893</v>
      </c>
      <c r="C372" t="s">
        <v>893</v>
      </c>
      <c r="D372" t="s">
        <v>893</v>
      </c>
      <c r="E372" t="s">
        <v>733</v>
      </c>
      <c r="F372" t="s">
        <v>894</v>
      </c>
      <c r="G372" t="s">
        <v>155</v>
      </c>
      <c r="H372" t="s">
        <v>10</v>
      </c>
      <c r="I372">
        <v>0</v>
      </c>
      <c r="J372" t="s">
        <v>987</v>
      </c>
      <c r="K372" s="9">
        <v>36.5</v>
      </c>
      <c r="L372" s="9">
        <v>18</v>
      </c>
      <c r="M372" s="9">
        <v>16.2</v>
      </c>
      <c r="N372" t="s">
        <v>14</v>
      </c>
      <c r="O372" s="9">
        <v>3.02</v>
      </c>
      <c r="P372" s="9">
        <v>2.88</v>
      </c>
      <c r="Q372" s="9">
        <v>35.2</v>
      </c>
      <c r="R372" t="s">
        <v>59</v>
      </c>
      <c r="S372" s="7">
        <v>59.5</v>
      </c>
      <c r="V372" s="10" t="s">
        <v>988</v>
      </c>
      <c r="X372" s="10" t="s">
        <v>989</v>
      </c>
      <c r="Y372" s="10" t="s">
        <v>990</v>
      </c>
      <c r="Z372" t="s">
        <v>56</v>
      </c>
    </row>
    <row r="373" spans="1:26">
      <c r="A373">
        <v>103</v>
      </c>
      <c r="B373" t="s">
        <v>893</v>
      </c>
      <c r="C373" t="s">
        <v>893</v>
      </c>
      <c r="D373" t="s">
        <v>893</v>
      </c>
      <c r="E373" t="s">
        <v>733</v>
      </c>
      <c r="F373" t="s">
        <v>894</v>
      </c>
      <c r="G373" t="s">
        <v>159</v>
      </c>
      <c r="H373" t="s">
        <v>11</v>
      </c>
      <c r="I373">
        <v>1</v>
      </c>
      <c r="K373" s="9">
        <v>39</v>
      </c>
      <c r="L373" s="9">
        <v>19.3</v>
      </c>
      <c r="M373" s="9">
        <v>17.4</v>
      </c>
      <c r="N373" t="s">
        <v>14</v>
      </c>
      <c r="O373" s="9">
        <v>3.22</v>
      </c>
      <c r="P373" s="9">
        <v>3.08</v>
      </c>
      <c r="Q373" s="9">
        <v>37.8</v>
      </c>
      <c r="S373" s="7">
        <v>59.8</v>
      </c>
      <c r="V373" s="10" t="s">
        <v>991</v>
      </c>
      <c r="X373" s="10" t="s">
        <v>992</v>
      </c>
      <c r="Y373" s="10" t="s">
        <v>162</v>
      </c>
      <c r="Z373" t="s">
        <v>56</v>
      </c>
    </row>
    <row r="374" spans="1:26">
      <c r="A374">
        <v>104</v>
      </c>
      <c r="B374" t="s">
        <v>893</v>
      </c>
      <c r="C374" t="s">
        <v>893</v>
      </c>
      <c r="D374" t="s">
        <v>893</v>
      </c>
      <c r="E374" t="s">
        <v>733</v>
      </c>
      <c r="F374" t="s">
        <v>894</v>
      </c>
      <c r="G374" t="s">
        <v>163</v>
      </c>
      <c r="H374" t="s">
        <v>11</v>
      </c>
      <c r="I374">
        <v>1</v>
      </c>
      <c r="K374" s="9">
        <v>41.5</v>
      </c>
      <c r="L374" s="9">
        <v>20.5</v>
      </c>
      <c r="M374" s="9">
        <v>18.5</v>
      </c>
      <c r="N374" t="s">
        <v>14</v>
      </c>
      <c r="O374" s="9">
        <v>3.42</v>
      </c>
      <c r="P374" s="9">
        <v>3.28</v>
      </c>
      <c r="Q374" s="9">
        <v>40.2</v>
      </c>
      <c r="S374" s="7">
        <v>60</v>
      </c>
      <c r="V374" s="10" t="s">
        <v>993</v>
      </c>
      <c r="X374" s="10" t="s">
        <v>994</v>
      </c>
      <c r="Y374" s="10" t="s">
        <v>162</v>
      </c>
      <c r="Z374" t="s">
        <v>56</v>
      </c>
    </row>
    <row r="375" spans="1:26">
      <c r="A375">
        <v>398</v>
      </c>
      <c r="B375" t="s">
        <v>995</v>
      </c>
      <c r="C375" t="s">
        <v>996</v>
      </c>
      <c r="D375" t="s">
        <v>997</v>
      </c>
      <c r="E375" t="s">
        <v>998</v>
      </c>
      <c r="F375" t="s">
        <v>999</v>
      </c>
      <c r="G375" t="s">
        <v>146</v>
      </c>
      <c r="H375" t="s">
        <v>10</v>
      </c>
      <c r="I375">
        <v>0</v>
      </c>
      <c r="J375" t="s">
        <v>844</v>
      </c>
      <c r="K375" s="9">
        <v>2.364131034482758</v>
      </c>
      <c r="L375" s="9">
        <v>0.3096482758620689</v>
      </c>
      <c r="M375" s="9">
        <v>0.1260965517241379</v>
      </c>
      <c r="N375" t="s">
        <v>14</v>
      </c>
      <c r="T375" s="7">
        <v>13.1</v>
      </c>
      <c r="X375" s="10" t="s">
        <v>1000</v>
      </c>
      <c r="Y375" s="11" t="s">
        <v>1001</v>
      </c>
      <c r="Z375" t="s">
        <v>1002</v>
      </c>
    </row>
    <row r="376" spans="1:26">
      <c r="A376">
        <v>399</v>
      </c>
      <c r="B376" t="s">
        <v>995</v>
      </c>
      <c r="C376" t="s">
        <v>996</v>
      </c>
      <c r="D376" t="s">
        <v>997</v>
      </c>
      <c r="E376" t="s">
        <v>998</v>
      </c>
      <c r="F376" t="s">
        <v>999</v>
      </c>
      <c r="G376" t="s">
        <v>150</v>
      </c>
      <c r="H376" t="s">
        <v>10</v>
      </c>
      <c r="I376">
        <v>0</v>
      </c>
      <c r="J376" t="s">
        <v>1003</v>
      </c>
      <c r="K376" s="9">
        <v>6.470322580645161</v>
      </c>
      <c r="L376" s="9">
        <v>3.850322580645161</v>
      </c>
      <c r="M376" s="9">
        <v>2.630322580645161</v>
      </c>
      <c r="N376" t="s">
        <v>14</v>
      </c>
      <c r="T376" s="7">
        <v>59.51</v>
      </c>
      <c r="X376" s="10" t="s">
        <v>1004</v>
      </c>
      <c r="Y376" s="11" t="s">
        <v>1005</v>
      </c>
      <c r="Z376" t="s">
        <v>1002</v>
      </c>
    </row>
    <row r="377" spans="1:26">
      <c r="A377">
        <v>400</v>
      </c>
      <c r="B377" t="s">
        <v>995</v>
      </c>
      <c r="C377" t="s">
        <v>996</v>
      </c>
      <c r="D377" t="s">
        <v>997</v>
      </c>
      <c r="E377" t="s">
        <v>998</v>
      </c>
      <c r="F377" t="s">
        <v>999</v>
      </c>
      <c r="G377" t="s">
        <v>155</v>
      </c>
      <c r="H377" t="s">
        <v>10</v>
      </c>
      <c r="I377">
        <v>0</v>
      </c>
      <c r="J377" t="s">
        <v>156</v>
      </c>
      <c r="K377" s="9">
        <v>11.04448125</v>
      </c>
      <c r="L377" s="9">
        <v>7.93760625</v>
      </c>
      <c r="M377" s="9">
        <v>5.26353125</v>
      </c>
      <c r="N377" t="s">
        <v>14</v>
      </c>
      <c r="T377" s="7">
        <v>71.87</v>
      </c>
      <c r="W377" s="10" t="s">
        <v>1006</v>
      </c>
      <c r="X377" s="10" t="s">
        <v>1007</v>
      </c>
      <c r="Y377" s="11" t="s">
        <v>1001</v>
      </c>
      <c r="Z377" t="s">
        <v>1002</v>
      </c>
    </row>
    <row r="378" spans="1:26">
      <c r="A378">
        <v>401</v>
      </c>
      <c r="B378" t="s">
        <v>995</v>
      </c>
      <c r="C378" t="s">
        <v>996</v>
      </c>
      <c r="D378" t="s">
        <v>997</v>
      </c>
      <c r="E378" t="s">
        <v>998</v>
      </c>
      <c r="F378" t="s">
        <v>999</v>
      </c>
      <c r="G378" t="s">
        <v>159</v>
      </c>
      <c r="H378" t="s">
        <v>11</v>
      </c>
      <c r="I378">
        <v>1</v>
      </c>
      <c r="K378" s="9">
        <v>14.75308641975309</v>
      </c>
      <c r="L378" s="9">
        <v>11.66666666666667</v>
      </c>
      <c r="M378" s="9">
        <v>7.839506172839506</v>
      </c>
      <c r="N378" t="s">
        <v>14</v>
      </c>
      <c r="T378" s="7">
        <v>79.08</v>
      </c>
      <c r="X378" s="10" t="s">
        <v>1008</v>
      </c>
      <c r="Y378" s="11" t="s">
        <v>1001</v>
      </c>
      <c r="Z378" t="s">
        <v>1002</v>
      </c>
    </row>
    <row r="379" spans="1:26">
      <c r="A379">
        <v>578</v>
      </c>
      <c r="B379" t="s">
        <v>1009</v>
      </c>
      <c r="C379" t="s">
        <v>1010</v>
      </c>
      <c r="D379" t="s">
        <v>1011</v>
      </c>
      <c r="E379" t="s">
        <v>998</v>
      </c>
      <c r="F379" t="s">
        <v>1012</v>
      </c>
      <c r="G379" t="s">
        <v>50</v>
      </c>
      <c r="H379" t="s">
        <v>10</v>
      </c>
      <c r="I379">
        <v>0</v>
      </c>
      <c r="J379" t="s">
        <v>1013</v>
      </c>
      <c r="K379" s="9">
        <v>5.773</v>
      </c>
      <c r="L379" s="9">
        <v>0.866</v>
      </c>
      <c r="M379" s="9">
        <v>0.803</v>
      </c>
      <c r="N379" t="s">
        <v>14</v>
      </c>
      <c r="O379" s="9">
        <v>0.71</v>
      </c>
      <c r="S379" s="7">
        <v>30.07</v>
      </c>
      <c r="T379" s="7">
        <v>15</v>
      </c>
      <c r="X379" s="10" t="s">
        <v>428</v>
      </c>
      <c r="Y379" s="11" t="s">
        <v>1014</v>
      </c>
      <c r="Z379" t="s">
        <v>430</v>
      </c>
    </row>
    <row r="380" spans="1:26">
      <c r="A380">
        <v>579</v>
      </c>
      <c r="B380" t="s">
        <v>1009</v>
      </c>
      <c r="C380" t="s">
        <v>1010</v>
      </c>
      <c r="D380" t="s">
        <v>1011</v>
      </c>
      <c r="E380" t="s">
        <v>998</v>
      </c>
      <c r="F380" t="s">
        <v>1012</v>
      </c>
      <c r="G380" t="s">
        <v>57</v>
      </c>
      <c r="H380" t="s">
        <v>10</v>
      </c>
      <c r="I380">
        <v>0</v>
      </c>
      <c r="J380" t="s">
        <v>1015</v>
      </c>
      <c r="K380" s="9">
        <v>4.797</v>
      </c>
      <c r="L380" s="9">
        <v>0.44</v>
      </c>
      <c r="M380" s="9">
        <v>0.803</v>
      </c>
      <c r="N380" t="s">
        <v>14</v>
      </c>
      <c r="O380" s="9">
        <v>0.36</v>
      </c>
      <c r="S380" s="7">
        <v>28.25</v>
      </c>
      <c r="T380" s="7">
        <v>9.17</v>
      </c>
      <c r="X380" s="10" t="s">
        <v>428</v>
      </c>
      <c r="Y380" s="11" t="s">
        <v>1016</v>
      </c>
      <c r="Z380" t="s">
        <v>430</v>
      </c>
    </row>
    <row r="381" spans="1:26">
      <c r="A381">
        <v>580</v>
      </c>
      <c r="B381" t="s">
        <v>1009</v>
      </c>
      <c r="C381" t="s">
        <v>1010</v>
      </c>
      <c r="D381" t="s">
        <v>1011</v>
      </c>
      <c r="E381" t="s">
        <v>998</v>
      </c>
      <c r="F381" t="s">
        <v>1012</v>
      </c>
      <c r="G381" t="s">
        <v>62</v>
      </c>
      <c r="H381" t="s">
        <v>10</v>
      </c>
      <c r="I381">
        <v>0</v>
      </c>
      <c r="J381" t="s">
        <v>1017</v>
      </c>
      <c r="K381" s="9">
        <v>5.438</v>
      </c>
      <c r="L381" s="9">
        <v>0.888</v>
      </c>
      <c r="M381" s="9">
        <v>0.803</v>
      </c>
      <c r="N381" t="s">
        <v>14</v>
      </c>
      <c r="O381" s="9">
        <v>0.71</v>
      </c>
      <c r="S381" s="7">
        <v>32.42</v>
      </c>
      <c r="T381" s="7">
        <v>16.33</v>
      </c>
      <c r="X381" s="10" t="s">
        <v>428</v>
      </c>
      <c r="Y381" s="11" t="s">
        <v>1018</v>
      </c>
      <c r="Z381" t="s">
        <v>430</v>
      </c>
    </row>
    <row r="382" spans="1:26">
      <c r="A382">
        <v>581</v>
      </c>
      <c r="B382" t="s">
        <v>1009</v>
      </c>
      <c r="C382" t="s">
        <v>1010</v>
      </c>
      <c r="D382" t="s">
        <v>1011</v>
      </c>
      <c r="E382" t="s">
        <v>998</v>
      </c>
      <c r="F382" t="s">
        <v>1012</v>
      </c>
      <c r="G382" t="s">
        <v>66</v>
      </c>
      <c r="H382" t="s">
        <v>10</v>
      </c>
      <c r="I382">
        <v>0</v>
      </c>
      <c r="J382" t="s">
        <v>1019</v>
      </c>
      <c r="K382" s="9">
        <v>6.056</v>
      </c>
      <c r="L382" s="9">
        <v>1.157</v>
      </c>
      <c r="M382" s="9">
        <v>0.988</v>
      </c>
      <c r="N382" t="s">
        <v>14</v>
      </c>
      <c r="S382" s="7">
        <v>34.15</v>
      </c>
      <c r="T382" s="7">
        <v>19.11</v>
      </c>
      <c r="X382" s="10" t="s">
        <v>483</v>
      </c>
      <c r="Y382" s="11" t="s">
        <v>1020</v>
      </c>
      <c r="Z382" t="s">
        <v>430</v>
      </c>
    </row>
    <row r="383" spans="1:26">
      <c r="A383">
        <v>582</v>
      </c>
      <c r="B383" t="s">
        <v>1009</v>
      </c>
      <c r="C383" t="s">
        <v>1010</v>
      </c>
      <c r="D383" t="s">
        <v>1011</v>
      </c>
      <c r="E383" t="s">
        <v>998</v>
      </c>
      <c r="F383" t="s">
        <v>1012</v>
      </c>
      <c r="G383" t="s">
        <v>71</v>
      </c>
      <c r="H383" t="s">
        <v>10</v>
      </c>
      <c r="I383">
        <v>0</v>
      </c>
      <c r="J383" t="s">
        <v>1021</v>
      </c>
      <c r="K383" s="9">
        <v>7.687</v>
      </c>
      <c r="L383" s="9">
        <v>2.631</v>
      </c>
      <c r="M383" s="9">
        <v>2.306</v>
      </c>
      <c r="N383" t="s">
        <v>14</v>
      </c>
      <c r="O383" s="9">
        <v>2.04</v>
      </c>
      <c r="S383" s="7">
        <v>46.38</v>
      </c>
      <c r="T383" s="7">
        <v>34.23</v>
      </c>
      <c r="X383" s="10" t="s">
        <v>428</v>
      </c>
      <c r="Y383" s="11" t="s">
        <v>1022</v>
      </c>
      <c r="Z383" t="s">
        <v>430</v>
      </c>
    </row>
    <row r="384" spans="1:26">
      <c r="A384">
        <v>583</v>
      </c>
      <c r="B384" t="s">
        <v>1009</v>
      </c>
      <c r="C384" t="s">
        <v>1010</v>
      </c>
      <c r="D384" t="s">
        <v>1011</v>
      </c>
      <c r="E384" t="s">
        <v>998</v>
      </c>
      <c r="F384" t="s">
        <v>1012</v>
      </c>
      <c r="G384" t="s">
        <v>75</v>
      </c>
      <c r="H384" t="s">
        <v>10</v>
      </c>
      <c r="I384">
        <v>0</v>
      </c>
      <c r="J384" t="s">
        <v>1023</v>
      </c>
      <c r="K384" s="9">
        <v>6.236</v>
      </c>
      <c r="L384" s="9">
        <v>0.663</v>
      </c>
      <c r="M384" s="9">
        <v>2.306</v>
      </c>
      <c r="N384" t="s">
        <v>14</v>
      </c>
      <c r="O384" s="9">
        <v>0.53</v>
      </c>
      <c r="S384" s="7">
        <v>26.44</v>
      </c>
      <c r="T384" s="7">
        <v>10.63</v>
      </c>
      <c r="X384" s="10" t="s">
        <v>428</v>
      </c>
      <c r="Y384" s="11" t="s">
        <v>1024</v>
      </c>
      <c r="Z384" t="s">
        <v>430</v>
      </c>
    </row>
    <row r="385" spans="1:26">
      <c r="A385">
        <v>584</v>
      </c>
      <c r="B385" t="s">
        <v>1009</v>
      </c>
      <c r="C385" t="s">
        <v>1010</v>
      </c>
      <c r="D385" t="s">
        <v>1011</v>
      </c>
      <c r="E385" t="s">
        <v>998</v>
      </c>
      <c r="F385" t="s">
        <v>1012</v>
      </c>
      <c r="G385" t="s">
        <v>80</v>
      </c>
      <c r="H385" t="s">
        <v>10</v>
      </c>
      <c r="I385">
        <v>0</v>
      </c>
      <c r="J385" t="s">
        <v>1025</v>
      </c>
      <c r="K385" s="9">
        <v>7.422</v>
      </c>
      <c r="L385" s="9">
        <v>1.799</v>
      </c>
      <c r="M385" s="9">
        <v>2.306</v>
      </c>
      <c r="N385" t="s">
        <v>14</v>
      </c>
      <c r="O385" s="9">
        <v>1.52</v>
      </c>
      <c r="S385" s="7">
        <v>42.12</v>
      </c>
      <c r="T385" s="7">
        <v>24.24</v>
      </c>
      <c r="X385" s="10" t="s">
        <v>428</v>
      </c>
      <c r="Y385" s="11" t="s">
        <v>1026</v>
      </c>
      <c r="Z385" t="s">
        <v>430</v>
      </c>
    </row>
    <row r="386" spans="1:26">
      <c r="A386">
        <v>585</v>
      </c>
      <c r="B386" t="s">
        <v>1009</v>
      </c>
      <c r="C386" t="s">
        <v>1010</v>
      </c>
      <c r="D386" t="s">
        <v>1011</v>
      </c>
      <c r="E386" t="s">
        <v>998</v>
      </c>
      <c r="F386" t="s">
        <v>1012</v>
      </c>
      <c r="G386" t="s">
        <v>85</v>
      </c>
      <c r="H386" t="s">
        <v>10</v>
      </c>
      <c r="I386">
        <v>0</v>
      </c>
      <c r="J386" t="s">
        <v>1027</v>
      </c>
      <c r="K386" s="9">
        <v>8.273999999999999</v>
      </c>
      <c r="L386" s="9">
        <v>2.955</v>
      </c>
      <c r="M386" s="9">
        <v>2.72</v>
      </c>
      <c r="N386" t="s">
        <v>14</v>
      </c>
      <c r="S386" s="7">
        <v>47.28</v>
      </c>
      <c r="T386" s="7">
        <v>35.71</v>
      </c>
      <c r="X386" s="10" t="s">
        <v>483</v>
      </c>
      <c r="Y386" s="11" t="s">
        <v>1028</v>
      </c>
      <c r="Z386" t="s">
        <v>430</v>
      </c>
    </row>
    <row r="387" spans="1:26">
      <c r="A387">
        <v>586</v>
      </c>
      <c r="B387" t="s">
        <v>1009</v>
      </c>
      <c r="C387" t="s">
        <v>1010</v>
      </c>
      <c r="D387" t="s">
        <v>1011</v>
      </c>
      <c r="E387" t="s">
        <v>998</v>
      </c>
      <c r="F387" t="s">
        <v>1012</v>
      </c>
      <c r="G387" t="s">
        <v>89</v>
      </c>
      <c r="H387" t="s">
        <v>10</v>
      </c>
      <c r="I387">
        <v>0</v>
      </c>
      <c r="J387" t="s">
        <v>1029</v>
      </c>
      <c r="K387" s="9">
        <v>4.085</v>
      </c>
      <c r="L387" s="9">
        <v>-0.209</v>
      </c>
      <c r="M387" s="9">
        <v>-0.195</v>
      </c>
      <c r="N387" t="s">
        <v>14</v>
      </c>
      <c r="O387" s="9">
        <v>-0.18</v>
      </c>
      <c r="S387" s="7">
        <v>21.86</v>
      </c>
      <c r="T387" s="7">
        <v>-5.12</v>
      </c>
      <c r="X387" s="10" t="s">
        <v>428</v>
      </c>
      <c r="Y387" s="11" t="s">
        <v>1030</v>
      </c>
      <c r="Z387" t="s">
        <v>430</v>
      </c>
    </row>
    <row r="388" spans="1:26">
      <c r="A388">
        <v>587</v>
      </c>
      <c r="B388" t="s">
        <v>1009</v>
      </c>
      <c r="C388" t="s">
        <v>1010</v>
      </c>
      <c r="D388" t="s">
        <v>1011</v>
      </c>
      <c r="E388" t="s">
        <v>998</v>
      </c>
      <c r="F388" t="s">
        <v>1012</v>
      </c>
      <c r="G388" t="s">
        <v>93</v>
      </c>
      <c r="H388" t="s">
        <v>10</v>
      </c>
      <c r="I388">
        <v>0</v>
      </c>
      <c r="J388" t="s">
        <v>1031</v>
      </c>
      <c r="K388" s="9">
        <v>7.786</v>
      </c>
      <c r="L388" s="9">
        <v>2.546</v>
      </c>
      <c r="M388" s="9">
        <v>-0.195</v>
      </c>
      <c r="N388" t="s">
        <v>14</v>
      </c>
      <c r="O388" s="9">
        <v>2</v>
      </c>
      <c r="S388" s="7">
        <v>47.21</v>
      </c>
      <c r="T388" s="7">
        <v>32.7</v>
      </c>
      <c r="X388" s="10" t="s">
        <v>428</v>
      </c>
      <c r="Y388" s="11" t="s">
        <v>1032</v>
      </c>
      <c r="Z388" t="s">
        <v>430</v>
      </c>
    </row>
    <row r="389" spans="1:26">
      <c r="A389">
        <v>588</v>
      </c>
      <c r="B389" t="s">
        <v>1009</v>
      </c>
      <c r="C389" t="s">
        <v>1010</v>
      </c>
      <c r="D389" t="s">
        <v>1011</v>
      </c>
      <c r="E389" t="s">
        <v>998</v>
      </c>
      <c r="F389" t="s">
        <v>1012</v>
      </c>
      <c r="G389" t="s">
        <v>98</v>
      </c>
      <c r="H389" t="s">
        <v>10</v>
      </c>
      <c r="I389">
        <v>0</v>
      </c>
      <c r="J389" t="s">
        <v>1033</v>
      </c>
      <c r="K389" s="9">
        <v>8.641999999999999</v>
      </c>
      <c r="L389" s="9">
        <v>3.004</v>
      </c>
      <c r="M389" s="9">
        <v>-0.195</v>
      </c>
      <c r="N389" t="s">
        <v>14</v>
      </c>
      <c r="O389" s="9">
        <v>2.34</v>
      </c>
      <c r="S389" s="7">
        <v>46.69</v>
      </c>
      <c r="T389" s="7">
        <v>34.76</v>
      </c>
      <c r="X389" s="10" t="s">
        <v>428</v>
      </c>
      <c r="Y389" s="11" t="s">
        <v>1034</v>
      </c>
      <c r="Z389" t="s">
        <v>430</v>
      </c>
    </row>
    <row r="390" spans="1:26">
      <c r="A390">
        <v>589</v>
      </c>
      <c r="B390" t="s">
        <v>1009</v>
      </c>
      <c r="C390" t="s">
        <v>1010</v>
      </c>
      <c r="D390" t="s">
        <v>1011</v>
      </c>
      <c r="E390" t="s">
        <v>998</v>
      </c>
      <c r="F390" t="s">
        <v>1012</v>
      </c>
      <c r="G390" t="s">
        <v>103</v>
      </c>
      <c r="H390" t="s">
        <v>10</v>
      </c>
      <c r="I390">
        <v>0</v>
      </c>
      <c r="J390" t="s">
        <v>1035</v>
      </c>
      <c r="K390" s="9">
        <v>6.643</v>
      </c>
      <c r="L390" s="9">
        <v>1.521</v>
      </c>
      <c r="M390" s="9">
        <v>1.492</v>
      </c>
      <c r="N390" t="s">
        <v>14</v>
      </c>
      <c r="S390" s="7">
        <v>39.47</v>
      </c>
      <c r="T390" s="7">
        <v>22.9</v>
      </c>
      <c r="X390" s="10" t="s">
        <v>483</v>
      </c>
      <c r="Y390" s="11" t="s">
        <v>1036</v>
      </c>
      <c r="Z390" t="s">
        <v>430</v>
      </c>
    </row>
    <row r="391" spans="1:26">
      <c r="A391">
        <v>590</v>
      </c>
      <c r="B391" t="s">
        <v>1009</v>
      </c>
      <c r="C391" t="s">
        <v>1010</v>
      </c>
      <c r="D391" t="s">
        <v>1011</v>
      </c>
      <c r="E391" t="s">
        <v>998</v>
      </c>
      <c r="F391" t="s">
        <v>1012</v>
      </c>
      <c r="G391" t="s">
        <v>107</v>
      </c>
      <c r="H391" t="s">
        <v>10</v>
      </c>
      <c r="I391">
        <v>0</v>
      </c>
      <c r="J391" t="s">
        <v>1037</v>
      </c>
      <c r="K391" s="9">
        <v>4.726</v>
      </c>
      <c r="L391" s="9">
        <v>-1.128</v>
      </c>
      <c r="M391" s="9">
        <v>-1.234</v>
      </c>
      <c r="N391" t="s">
        <v>14</v>
      </c>
      <c r="O391" s="9">
        <v>-1.12</v>
      </c>
      <c r="S391" s="7">
        <v>-0.74</v>
      </c>
      <c r="T391" s="7">
        <v>-23.87</v>
      </c>
      <c r="X391" s="10" t="s">
        <v>428</v>
      </c>
      <c r="Y391" s="11" t="s">
        <v>1038</v>
      </c>
      <c r="Z391" t="s">
        <v>430</v>
      </c>
    </row>
    <row r="392" spans="1:26">
      <c r="A392">
        <v>591</v>
      </c>
      <c r="B392" t="s">
        <v>1009</v>
      </c>
      <c r="C392" t="s">
        <v>1010</v>
      </c>
      <c r="D392" t="s">
        <v>1011</v>
      </c>
      <c r="E392" t="s">
        <v>998</v>
      </c>
      <c r="F392" t="s">
        <v>1012</v>
      </c>
      <c r="G392" t="s">
        <v>112</v>
      </c>
      <c r="H392" t="s">
        <v>10</v>
      </c>
      <c r="I392">
        <v>0</v>
      </c>
      <c r="J392" t="s">
        <v>1039</v>
      </c>
      <c r="K392" s="9">
        <v>3.693</v>
      </c>
      <c r="L392" s="9">
        <v>-2.303</v>
      </c>
      <c r="M392" s="9">
        <v>-1.234</v>
      </c>
      <c r="N392" t="s">
        <v>14</v>
      </c>
      <c r="O392" s="9">
        <v>-2.12</v>
      </c>
      <c r="S392" s="7">
        <v>-32.66</v>
      </c>
      <c r="T392" s="7">
        <v>-62.36</v>
      </c>
      <c r="X392" s="10" t="s">
        <v>428</v>
      </c>
      <c r="Y392" s="11" t="s">
        <v>1040</v>
      </c>
      <c r="Z392" t="s">
        <v>430</v>
      </c>
    </row>
    <row r="393" spans="1:26">
      <c r="A393">
        <v>592</v>
      </c>
      <c r="B393" t="s">
        <v>1009</v>
      </c>
      <c r="C393" t="s">
        <v>1010</v>
      </c>
      <c r="D393" t="s">
        <v>1011</v>
      </c>
      <c r="E393" t="s">
        <v>998</v>
      </c>
      <c r="F393" t="s">
        <v>1012</v>
      </c>
      <c r="G393" t="s">
        <v>116</v>
      </c>
      <c r="H393" t="s">
        <v>10</v>
      </c>
      <c r="I393">
        <v>0</v>
      </c>
      <c r="J393" t="s">
        <v>1041</v>
      </c>
      <c r="K393" s="9">
        <v>3.752</v>
      </c>
      <c r="L393" s="9">
        <v>-1.761</v>
      </c>
      <c r="M393" s="9">
        <v>-1.234</v>
      </c>
      <c r="N393" t="s">
        <v>14</v>
      </c>
      <c r="O393" s="9">
        <v>-1.73</v>
      </c>
      <c r="S393" s="7">
        <v>-17.8</v>
      </c>
      <c r="T393" s="7">
        <v>-46.93</v>
      </c>
      <c r="X393" s="10" t="s">
        <v>428</v>
      </c>
      <c r="Y393" s="11" t="s">
        <v>1042</v>
      </c>
      <c r="Z393" t="s">
        <v>430</v>
      </c>
    </row>
    <row r="394" spans="1:26">
      <c r="A394">
        <v>593</v>
      </c>
      <c r="B394" t="s">
        <v>1009</v>
      </c>
      <c r="C394" t="s">
        <v>1010</v>
      </c>
      <c r="D394" t="s">
        <v>1011</v>
      </c>
      <c r="E394" t="s">
        <v>998</v>
      </c>
      <c r="F394" t="s">
        <v>1012</v>
      </c>
      <c r="G394" t="s">
        <v>120</v>
      </c>
      <c r="H394" t="s">
        <v>10</v>
      </c>
      <c r="I394">
        <v>0</v>
      </c>
      <c r="J394" t="s">
        <v>1043</v>
      </c>
      <c r="K394" s="9">
        <v>4.01</v>
      </c>
      <c r="L394" s="9">
        <v>-1.472</v>
      </c>
      <c r="M394" s="9">
        <v>-1.43</v>
      </c>
      <c r="N394" t="s">
        <v>14</v>
      </c>
      <c r="S394" s="7">
        <v>-10.85</v>
      </c>
      <c r="T394" s="7">
        <v>-36.71</v>
      </c>
      <c r="X394" s="10" t="s">
        <v>483</v>
      </c>
      <c r="Y394" s="11" t="s">
        <v>1044</v>
      </c>
      <c r="Z394" t="s">
        <v>430</v>
      </c>
    </row>
    <row r="395" spans="1:26">
      <c r="A395">
        <v>594</v>
      </c>
      <c r="B395" t="s">
        <v>1009</v>
      </c>
      <c r="C395" t="s">
        <v>1010</v>
      </c>
      <c r="D395" t="s">
        <v>1011</v>
      </c>
      <c r="E395" t="s">
        <v>998</v>
      </c>
      <c r="F395" t="s">
        <v>1012</v>
      </c>
      <c r="G395" t="s">
        <v>124</v>
      </c>
      <c r="H395" t="s">
        <v>10</v>
      </c>
      <c r="I395">
        <v>0</v>
      </c>
      <c r="J395" t="s">
        <v>569</v>
      </c>
      <c r="K395" s="9">
        <v>8.709</v>
      </c>
      <c r="L395" s="9">
        <v>2.174</v>
      </c>
      <c r="M395" s="9">
        <v>1.87</v>
      </c>
      <c r="N395" t="s">
        <v>14</v>
      </c>
      <c r="O395" s="9">
        <v>1.67</v>
      </c>
      <c r="S395" s="7">
        <v>38.44</v>
      </c>
      <c r="T395" s="7">
        <v>24.96</v>
      </c>
      <c r="X395" s="10" t="s">
        <v>428</v>
      </c>
      <c r="Y395" s="11" t="s">
        <v>1045</v>
      </c>
      <c r="Z395" t="s">
        <v>430</v>
      </c>
    </row>
    <row r="396" spans="1:26">
      <c r="A396">
        <v>595</v>
      </c>
      <c r="B396" t="s">
        <v>1009</v>
      </c>
      <c r="C396" t="s">
        <v>1010</v>
      </c>
      <c r="D396" t="s">
        <v>1011</v>
      </c>
      <c r="E396" t="s">
        <v>998</v>
      </c>
      <c r="F396" t="s">
        <v>1012</v>
      </c>
      <c r="G396" t="s">
        <v>128</v>
      </c>
      <c r="H396" t="s">
        <v>10</v>
      </c>
      <c r="I396">
        <v>0</v>
      </c>
      <c r="J396" t="s">
        <v>1046</v>
      </c>
      <c r="K396" s="9">
        <v>5.824</v>
      </c>
      <c r="L396" s="9">
        <v>0.191</v>
      </c>
      <c r="M396" s="9">
        <v>1.87</v>
      </c>
      <c r="N396" t="s">
        <v>14</v>
      </c>
      <c r="O396" s="9">
        <v>0.71</v>
      </c>
      <c r="S396" s="7">
        <v>18.53</v>
      </c>
      <c r="T396" s="7">
        <v>3.28</v>
      </c>
      <c r="X396" s="10" t="s">
        <v>428</v>
      </c>
      <c r="Y396" s="11" t="s">
        <v>1047</v>
      </c>
      <c r="Z396" t="s">
        <v>430</v>
      </c>
    </row>
    <row r="397" spans="1:26">
      <c r="A397">
        <v>596</v>
      </c>
      <c r="B397" t="s">
        <v>1009</v>
      </c>
      <c r="C397" t="s">
        <v>1010</v>
      </c>
      <c r="D397" t="s">
        <v>1011</v>
      </c>
      <c r="E397" t="s">
        <v>998</v>
      </c>
      <c r="F397" t="s">
        <v>1012</v>
      </c>
      <c r="G397" t="s">
        <v>133</v>
      </c>
      <c r="H397" t="s">
        <v>10</v>
      </c>
      <c r="I397">
        <v>0</v>
      </c>
      <c r="J397" t="s">
        <v>1048</v>
      </c>
      <c r="K397" s="9">
        <v>6.811</v>
      </c>
      <c r="L397" s="9">
        <v>0.719</v>
      </c>
      <c r="M397" s="9">
        <v>1.87</v>
      </c>
      <c r="N397" t="s">
        <v>14</v>
      </c>
      <c r="O397" s="9">
        <v>0.3</v>
      </c>
      <c r="S397" s="7">
        <v>26.9</v>
      </c>
      <c r="T397" s="7">
        <v>10.56</v>
      </c>
      <c r="X397" s="10" t="s">
        <v>428</v>
      </c>
      <c r="Y397" s="11" t="s">
        <v>1049</v>
      </c>
      <c r="Z397" t="s">
        <v>430</v>
      </c>
    </row>
    <row r="398" spans="1:26">
      <c r="A398">
        <v>597</v>
      </c>
      <c r="B398" t="s">
        <v>1009</v>
      </c>
      <c r="C398" t="s">
        <v>1010</v>
      </c>
      <c r="D398" t="s">
        <v>1011</v>
      </c>
      <c r="E398" t="s">
        <v>998</v>
      </c>
      <c r="F398" t="s">
        <v>1012</v>
      </c>
      <c r="G398" t="s">
        <v>137</v>
      </c>
      <c r="H398" t="s">
        <v>10</v>
      </c>
      <c r="I398">
        <v>0</v>
      </c>
      <c r="J398" t="s">
        <v>1043</v>
      </c>
      <c r="K398" s="9">
        <v>7.75</v>
      </c>
      <c r="L398" s="9">
        <v>1.522</v>
      </c>
      <c r="M398" s="9">
        <v>0.887</v>
      </c>
      <c r="N398" t="s">
        <v>14</v>
      </c>
      <c r="S398" s="7">
        <v>35.32</v>
      </c>
      <c r="T398" s="7">
        <v>19.64</v>
      </c>
      <c r="X398" s="10" t="s">
        <v>483</v>
      </c>
      <c r="Y398" s="11" t="s">
        <v>1044</v>
      </c>
      <c r="Z398" t="s">
        <v>430</v>
      </c>
    </row>
    <row r="399" spans="1:26">
      <c r="A399">
        <v>598</v>
      </c>
      <c r="B399" t="s">
        <v>1009</v>
      </c>
      <c r="C399" t="s">
        <v>1010</v>
      </c>
      <c r="D399" t="s">
        <v>1011</v>
      </c>
      <c r="E399" t="s">
        <v>998</v>
      </c>
      <c r="F399" t="s">
        <v>1012</v>
      </c>
      <c r="G399" t="s">
        <v>141</v>
      </c>
      <c r="H399" t="s">
        <v>10</v>
      </c>
      <c r="I399">
        <v>0</v>
      </c>
      <c r="J399" t="s">
        <v>569</v>
      </c>
      <c r="K399" s="9">
        <v>13.643</v>
      </c>
      <c r="L399" s="9">
        <v>6.136</v>
      </c>
      <c r="M399" s="9">
        <v>5.24</v>
      </c>
      <c r="N399" t="s">
        <v>14</v>
      </c>
      <c r="O399" s="9">
        <v>4.6</v>
      </c>
      <c r="S399" s="7">
        <v>56.04</v>
      </c>
      <c r="T399" s="7">
        <v>44.98</v>
      </c>
      <c r="X399" s="10" t="s">
        <v>428</v>
      </c>
      <c r="Y399" s="11" t="s">
        <v>1045</v>
      </c>
      <c r="Z399" t="s">
        <v>430</v>
      </c>
    </row>
    <row r="400" spans="1:26">
      <c r="A400">
        <v>599</v>
      </c>
      <c r="B400" t="s">
        <v>1009</v>
      </c>
      <c r="C400" t="s">
        <v>1010</v>
      </c>
      <c r="D400" t="s">
        <v>1011</v>
      </c>
      <c r="E400" t="s">
        <v>998</v>
      </c>
      <c r="F400" t="s">
        <v>1012</v>
      </c>
      <c r="G400" t="s">
        <v>146</v>
      </c>
      <c r="H400" t="s">
        <v>10</v>
      </c>
      <c r="I400">
        <v>0</v>
      </c>
      <c r="J400" t="s">
        <v>1050</v>
      </c>
      <c r="K400" s="9">
        <v>8.053000000000001</v>
      </c>
      <c r="L400" s="9">
        <v>1.773</v>
      </c>
      <c r="M400" s="9">
        <v>1.583</v>
      </c>
      <c r="N400" t="s">
        <v>14</v>
      </c>
      <c r="O400" s="9">
        <v>1.41</v>
      </c>
      <c r="S400" s="7">
        <v>36.79</v>
      </c>
      <c r="T400" s="7">
        <v>22.02</v>
      </c>
      <c r="X400" s="10" t="s">
        <v>428</v>
      </c>
      <c r="Y400" s="11" t="s">
        <v>1051</v>
      </c>
      <c r="Z400" t="s">
        <v>430</v>
      </c>
    </row>
    <row r="401" spans="1:26">
      <c r="A401">
        <v>600</v>
      </c>
      <c r="B401" t="s">
        <v>1009</v>
      </c>
      <c r="C401" t="s">
        <v>1010</v>
      </c>
      <c r="D401" t="s">
        <v>1011</v>
      </c>
      <c r="E401" t="s">
        <v>998</v>
      </c>
      <c r="F401" t="s">
        <v>1012</v>
      </c>
      <c r="G401" t="s">
        <v>472</v>
      </c>
      <c r="H401" t="s">
        <v>10</v>
      </c>
      <c r="I401">
        <v>0</v>
      </c>
      <c r="J401" t="s">
        <v>1052</v>
      </c>
      <c r="K401" s="9">
        <v>9.301</v>
      </c>
      <c r="L401" s="9">
        <v>2.169</v>
      </c>
      <c r="M401" s="9">
        <v>1.885</v>
      </c>
      <c r="N401" t="s">
        <v>14</v>
      </c>
      <c r="O401" s="9">
        <v>1.68</v>
      </c>
      <c r="S401" s="7">
        <v>37.72</v>
      </c>
      <c r="T401" s="7">
        <v>23.32</v>
      </c>
      <c r="X401" s="10" t="s">
        <v>428</v>
      </c>
      <c r="Y401" s="11" t="s">
        <v>1053</v>
      </c>
      <c r="Z401" t="s">
        <v>430</v>
      </c>
    </row>
    <row r="402" spans="1:26">
      <c r="A402">
        <v>601</v>
      </c>
      <c r="B402" t="s">
        <v>1009</v>
      </c>
      <c r="C402" t="s">
        <v>1010</v>
      </c>
      <c r="D402" t="s">
        <v>1011</v>
      </c>
      <c r="E402" t="s">
        <v>998</v>
      </c>
      <c r="F402" t="s">
        <v>1012</v>
      </c>
      <c r="G402" t="s">
        <v>475</v>
      </c>
      <c r="H402" t="s">
        <v>10</v>
      </c>
      <c r="I402">
        <v>0</v>
      </c>
      <c r="J402" t="s">
        <v>1043</v>
      </c>
      <c r="K402" s="9">
        <v>11.315</v>
      </c>
      <c r="L402" s="9">
        <v>3.654</v>
      </c>
      <c r="M402" s="9">
        <v>3.201</v>
      </c>
      <c r="N402" t="s">
        <v>14</v>
      </c>
      <c r="S402" s="7">
        <v>44.67</v>
      </c>
      <c r="T402" s="7">
        <v>32.29</v>
      </c>
      <c r="X402" s="10" t="s">
        <v>483</v>
      </c>
      <c r="Y402" s="11" t="s">
        <v>1044</v>
      </c>
      <c r="Z402" t="s">
        <v>430</v>
      </c>
    </row>
    <row r="403" spans="1:26">
      <c r="A403">
        <v>602</v>
      </c>
      <c r="B403" t="s">
        <v>1009</v>
      </c>
      <c r="C403" t="s">
        <v>1010</v>
      </c>
      <c r="D403" t="s">
        <v>1011</v>
      </c>
      <c r="E403" t="s">
        <v>998</v>
      </c>
      <c r="F403" t="s">
        <v>1012</v>
      </c>
      <c r="G403" t="s">
        <v>155</v>
      </c>
      <c r="H403" t="s">
        <v>10</v>
      </c>
      <c r="I403">
        <v>0</v>
      </c>
      <c r="J403" t="s">
        <v>1050</v>
      </c>
      <c r="K403" s="9">
        <v>23.86</v>
      </c>
      <c r="L403" s="9">
        <v>16.135</v>
      </c>
      <c r="M403" s="9">
        <v>13.785</v>
      </c>
      <c r="N403" t="s">
        <v>14</v>
      </c>
      <c r="O403" s="9">
        <v>12.07</v>
      </c>
      <c r="S403" s="7">
        <v>74.41</v>
      </c>
      <c r="T403" s="7">
        <v>67.62</v>
      </c>
      <c r="X403" s="10" t="s">
        <v>428</v>
      </c>
      <c r="Y403" s="11" t="s">
        <v>1051</v>
      </c>
      <c r="Z403" t="s">
        <v>430</v>
      </c>
    </row>
    <row r="404" spans="1:26">
      <c r="A404">
        <v>53</v>
      </c>
      <c r="B404" t="s">
        <v>1054</v>
      </c>
      <c r="C404" t="s">
        <v>1055</v>
      </c>
      <c r="D404" t="s">
        <v>1056</v>
      </c>
      <c r="E404" t="s">
        <v>998</v>
      </c>
      <c r="F404" t="s">
        <v>1057</v>
      </c>
      <c r="G404" t="s">
        <v>50</v>
      </c>
      <c r="H404" t="s">
        <v>10</v>
      </c>
      <c r="I404">
        <v>0</v>
      </c>
      <c r="J404" t="s">
        <v>261</v>
      </c>
      <c r="K404" s="9">
        <v>55.33</v>
      </c>
      <c r="L404" s="9">
        <v>6.45</v>
      </c>
      <c r="M404" s="9">
        <v>4.88</v>
      </c>
      <c r="N404" t="s">
        <v>15</v>
      </c>
      <c r="Q404" s="9">
        <v>54.8</v>
      </c>
      <c r="R404" t="s">
        <v>100</v>
      </c>
      <c r="S404" s="7">
        <v>36.5</v>
      </c>
      <c r="V404" s="10" t="s">
        <v>1058</v>
      </c>
      <c r="X404" s="10" t="s">
        <v>1059</v>
      </c>
      <c r="Y404" s="10" t="s">
        <v>1060</v>
      </c>
      <c r="Z404" t="s">
        <v>56</v>
      </c>
    </row>
    <row r="405" spans="1:26">
      <c r="A405">
        <v>54</v>
      </c>
      <c r="B405" t="s">
        <v>1054</v>
      </c>
      <c r="C405" t="s">
        <v>1055</v>
      </c>
      <c r="D405" t="s">
        <v>1056</v>
      </c>
      <c r="E405" t="s">
        <v>998</v>
      </c>
      <c r="F405" t="s">
        <v>1057</v>
      </c>
      <c r="G405" t="s">
        <v>57</v>
      </c>
      <c r="H405" t="s">
        <v>10</v>
      </c>
      <c r="I405">
        <v>0</v>
      </c>
      <c r="J405" t="s">
        <v>58</v>
      </c>
      <c r="K405" s="9">
        <v>52.97</v>
      </c>
      <c r="L405" s="9">
        <v>8.15</v>
      </c>
      <c r="M405" s="9">
        <v>5.56</v>
      </c>
      <c r="N405" t="s">
        <v>15</v>
      </c>
      <c r="Q405" s="9">
        <v>51.5</v>
      </c>
      <c r="R405" t="s">
        <v>59</v>
      </c>
      <c r="S405" s="7">
        <v>39.5</v>
      </c>
      <c r="V405" s="10" t="s">
        <v>1061</v>
      </c>
      <c r="X405" s="10" t="s">
        <v>1062</v>
      </c>
      <c r="Y405" s="10" t="s">
        <v>1063</v>
      </c>
      <c r="Z405" t="s">
        <v>56</v>
      </c>
    </row>
    <row r="406" spans="1:26">
      <c r="A406">
        <v>55</v>
      </c>
      <c r="B406" t="s">
        <v>1054</v>
      </c>
      <c r="C406" t="s">
        <v>1055</v>
      </c>
      <c r="D406" t="s">
        <v>1056</v>
      </c>
      <c r="E406" t="s">
        <v>998</v>
      </c>
      <c r="F406" t="s">
        <v>1057</v>
      </c>
      <c r="G406" t="s">
        <v>62</v>
      </c>
      <c r="H406" t="s">
        <v>10</v>
      </c>
      <c r="I406">
        <v>0</v>
      </c>
      <c r="J406" t="s">
        <v>63</v>
      </c>
      <c r="K406" s="9">
        <v>66.95999999999999</v>
      </c>
      <c r="L406" s="9">
        <v>12.35</v>
      </c>
      <c r="M406" s="9">
        <v>9.369999999999999</v>
      </c>
      <c r="N406" t="s">
        <v>15</v>
      </c>
      <c r="Q406" s="9">
        <v>63</v>
      </c>
      <c r="R406" t="s">
        <v>59</v>
      </c>
      <c r="S406" s="7">
        <v>41.2</v>
      </c>
      <c r="V406" s="10" t="s">
        <v>1064</v>
      </c>
      <c r="X406" s="10" t="s">
        <v>1065</v>
      </c>
      <c r="Y406" s="10" t="s">
        <v>1066</v>
      </c>
      <c r="Z406" t="s">
        <v>56</v>
      </c>
    </row>
    <row r="407" spans="1:26">
      <c r="A407">
        <v>56</v>
      </c>
      <c r="B407" t="s">
        <v>1054</v>
      </c>
      <c r="C407" t="s">
        <v>1055</v>
      </c>
      <c r="D407" t="s">
        <v>1056</v>
      </c>
      <c r="E407" t="s">
        <v>998</v>
      </c>
      <c r="F407" t="s">
        <v>1057</v>
      </c>
      <c r="G407" t="s">
        <v>66</v>
      </c>
      <c r="H407" t="s">
        <v>10</v>
      </c>
      <c r="I407">
        <v>0</v>
      </c>
      <c r="J407" t="s">
        <v>1067</v>
      </c>
      <c r="K407" s="9">
        <v>61.55</v>
      </c>
      <c r="L407" s="9">
        <v>9.050000000000001</v>
      </c>
      <c r="M407" s="9">
        <v>6.61</v>
      </c>
      <c r="N407" t="s">
        <v>15</v>
      </c>
      <c r="Q407" s="9">
        <v>60.5</v>
      </c>
      <c r="R407" t="s">
        <v>100</v>
      </c>
      <c r="S407" s="7">
        <v>38</v>
      </c>
      <c r="V407" s="10" t="s">
        <v>1068</v>
      </c>
      <c r="X407" s="10" t="s">
        <v>1069</v>
      </c>
      <c r="Y407" s="10" t="s">
        <v>1070</v>
      </c>
      <c r="Z407" t="s">
        <v>56</v>
      </c>
    </row>
    <row r="408" spans="1:26">
      <c r="A408">
        <v>57</v>
      </c>
      <c r="B408" t="s">
        <v>1054</v>
      </c>
      <c r="C408" t="s">
        <v>1055</v>
      </c>
      <c r="D408" t="s">
        <v>1056</v>
      </c>
      <c r="E408" t="s">
        <v>998</v>
      </c>
      <c r="F408" t="s">
        <v>1057</v>
      </c>
      <c r="G408" t="s">
        <v>71</v>
      </c>
      <c r="H408" t="s">
        <v>10</v>
      </c>
      <c r="I408">
        <v>0</v>
      </c>
      <c r="J408" t="s">
        <v>72</v>
      </c>
      <c r="K408" s="9">
        <v>65.39</v>
      </c>
      <c r="L408" s="9">
        <v>9.380000000000001</v>
      </c>
      <c r="M408" s="9">
        <v>7.14</v>
      </c>
      <c r="N408" t="s">
        <v>15</v>
      </c>
      <c r="Q408" s="9">
        <v>63</v>
      </c>
      <c r="R408" t="s">
        <v>59</v>
      </c>
      <c r="S408" s="7">
        <v>37.8</v>
      </c>
      <c r="V408" s="10" t="s">
        <v>1071</v>
      </c>
      <c r="X408" s="10" t="s">
        <v>1072</v>
      </c>
      <c r="Y408" s="10" t="s">
        <v>1073</v>
      </c>
      <c r="Z408" t="s">
        <v>56</v>
      </c>
    </row>
    <row r="409" spans="1:26">
      <c r="A409">
        <v>58</v>
      </c>
      <c r="B409" t="s">
        <v>1054</v>
      </c>
      <c r="C409" t="s">
        <v>1055</v>
      </c>
      <c r="D409" t="s">
        <v>1056</v>
      </c>
      <c r="E409" t="s">
        <v>998</v>
      </c>
      <c r="F409" t="s">
        <v>1057</v>
      </c>
      <c r="G409" t="s">
        <v>75</v>
      </c>
      <c r="H409" t="s">
        <v>10</v>
      </c>
      <c r="I409">
        <v>0</v>
      </c>
      <c r="J409" t="s">
        <v>76</v>
      </c>
      <c r="K409" s="9">
        <v>63.67</v>
      </c>
      <c r="L409" s="9">
        <v>12.57</v>
      </c>
      <c r="M409" s="9">
        <v>9.630000000000001</v>
      </c>
      <c r="N409" t="s">
        <v>15</v>
      </c>
      <c r="Q409" s="9">
        <v>62</v>
      </c>
      <c r="R409" t="s">
        <v>59</v>
      </c>
      <c r="S409" s="7">
        <v>41.5</v>
      </c>
      <c r="V409" s="10" t="s">
        <v>1074</v>
      </c>
      <c r="X409" s="10" t="s">
        <v>1075</v>
      </c>
      <c r="Y409" s="10" t="s">
        <v>1076</v>
      </c>
      <c r="Z409" t="s">
        <v>56</v>
      </c>
    </row>
    <row r="410" spans="1:26">
      <c r="A410">
        <v>59</v>
      </c>
      <c r="B410" t="s">
        <v>1054</v>
      </c>
      <c r="C410" t="s">
        <v>1055</v>
      </c>
      <c r="D410" t="s">
        <v>1056</v>
      </c>
      <c r="E410" t="s">
        <v>998</v>
      </c>
      <c r="F410" t="s">
        <v>1057</v>
      </c>
      <c r="G410" t="s">
        <v>80</v>
      </c>
      <c r="H410" t="s">
        <v>10</v>
      </c>
      <c r="I410">
        <v>0</v>
      </c>
      <c r="J410" t="s">
        <v>81</v>
      </c>
      <c r="K410" s="9">
        <v>73.98</v>
      </c>
      <c r="L410" s="9">
        <v>15.82</v>
      </c>
      <c r="M410" s="9">
        <v>12.29</v>
      </c>
      <c r="N410" t="s">
        <v>15</v>
      </c>
      <c r="Q410" s="9">
        <v>72</v>
      </c>
      <c r="R410" t="s">
        <v>59</v>
      </c>
      <c r="S410" s="7">
        <v>43</v>
      </c>
      <c r="V410" s="10" t="s">
        <v>1077</v>
      </c>
      <c r="X410" s="10" t="s">
        <v>1078</v>
      </c>
      <c r="Y410" s="10" t="s">
        <v>1079</v>
      </c>
      <c r="Z410" t="s">
        <v>56</v>
      </c>
    </row>
    <row r="411" spans="1:26">
      <c r="A411">
        <v>60</v>
      </c>
      <c r="B411" t="s">
        <v>1054</v>
      </c>
      <c r="C411" t="s">
        <v>1055</v>
      </c>
      <c r="D411" t="s">
        <v>1056</v>
      </c>
      <c r="E411" t="s">
        <v>998</v>
      </c>
      <c r="F411" t="s">
        <v>1057</v>
      </c>
      <c r="G411" t="s">
        <v>85</v>
      </c>
      <c r="H411" t="s">
        <v>10</v>
      </c>
      <c r="I411">
        <v>0</v>
      </c>
      <c r="J411" t="s">
        <v>1080</v>
      </c>
      <c r="K411" s="9">
        <v>76.56999999999999</v>
      </c>
      <c r="L411" s="9">
        <v>13.87</v>
      </c>
      <c r="M411" s="9">
        <v>10.84</v>
      </c>
      <c r="N411" t="s">
        <v>15</v>
      </c>
      <c r="Q411" s="9">
        <v>75</v>
      </c>
      <c r="R411" t="s">
        <v>100</v>
      </c>
      <c r="S411" s="7">
        <v>41</v>
      </c>
      <c r="V411" s="10" t="s">
        <v>1081</v>
      </c>
      <c r="X411" s="10" t="s">
        <v>1082</v>
      </c>
      <c r="Y411" s="10" t="s">
        <v>1083</v>
      </c>
      <c r="Z411" t="s">
        <v>56</v>
      </c>
    </row>
    <row r="412" spans="1:26">
      <c r="A412">
        <v>61</v>
      </c>
      <c r="B412" t="s">
        <v>1054</v>
      </c>
      <c r="C412" t="s">
        <v>1055</v>
      </c>
      <c r="D412" t="s">
        <v>1056</v>
      </c>
      <c r="E412" t="s">
        <v>998</v>
      </c>
      <c r="F412" t="s">
        <v>1057</v>
      </c>
      <c r="G412" t="s">
        <v>89</v>
      </c>
      <c r="H412" t="s">
        <v>10</v>
      </c>
      <c r="I412">
        <v>0</v>
      </c>
      <c r="J412" t="s">
        <v>90</v>
      </c>
      <c r="K412" s="9">
        <v>77.78</v>
      </c>
      <c r="L412" s="9">
        <v>14.12</v>
      </c>
      <c r="M412" s="9">
        <v>11.32</v>
      </c>
      <c r="N412" t="s">
        <v>15</v>
      </c>
      <c r="Q412" s="9">
        <v>76.5</v>
      </c>
      <c r="R412" t="s">
        <v>100</v>
      </c>
      <c r="S412" s="7">
        <v>39.5</v>
      </c>
      <c r="V412" s="10" t="s">
        <v>1084</v>
      </c>
      <c r="X412" s="10" t="s">
        <v>1085</v>
      </c>
      <c r="Y412" s="10" t="s">
        <v>1086</v>
      </c>
      <c r="Z412" t="s">
        <v>56</v>
      </c>
    </row>
    <row r="413" spans="1:26">
      <c r="A413">
        <v>62</v>
      </c>
      <c r="B413" t="s">
        <v>1054</v>
      </c>
      <c r="C413" t="s">
        <v>1055</v>
      </c>
      <c r="D413" t="s">
        <v>1056</v>
      </c>
      <c r="E413" t="s">
        <v>998</v>
      </c>
      <c r="F413" t="s">
        <v>1057</v>
      </c>
      <c r="G413" t="s">
        <v>93</v>
      </c>
      <c r="H413" t="s">
        <v>10</v>
      </c>
      <c r="I413">
        <v>0</v>
      </c>
      <c r="J413" t="s">
        <v>94</v>
      </c>
      <c r="K413" s="9">
        <v>77.2</v>
      </c>
      <c r="L413" s="9">
        <v>14.1</v>
      </c>
      <c r="M413" s="9">
        <v>11.1</v>
      </c>
      <c r="N413" t="s">
        <v>15</v>
      </c>
      <c r="Q413" s="9">
        <v>76</v>
      </c>
      <c r="R413" t="s">
        <v>100</v>
      </c>
      <c r="S413" s="7">
        <v>40</v>
      </c>
      <c r="V413" s="10" t="s">
        <v>1087</v>
      </c>
      <c r="X413" s="10" t="s">
        <v>1088</v>
      </c>
      <c r="Y413" s="10" t="s">
        <v>1089</v>
      </c>
      <c r="Z413" t="s">
        <v>56</v>
      </c>
    </row>
    <row r="414" spans="1:26">
      <c r="A414">
        <v>63</v>
      </c>
      <c r="B414" t="s">
        <v>1054</v>
      </c>
      <c r="C414" t="s">
        <v>1055</v>
      </c>
      <c r="D414" t="s">
        <v>1056</v>
      </c>
      <c r="E414" t="s">
        <v>998</v>
      </c>
      <c r="F414" t="s">
        <v>1057</v>
      </c>
      <c r="G414" t="s">
        <v>98</v>
      </c>
      <c r="H414" t="s">
        <v>10</v>
      </c>
      <c r="I414">
        <v>0</v>
      </c>
      <c r="J414" t="s">
        <v>99</v>
      </c>
      <c r="K414" s="9">
        <v>76.78</v>
      </c>
      <c r="L414" s="9">
        <v>10.85</v>
      </c>
      <c r="M414" s="9">
        <v>9.390000000000001</v>
      </c>
      <c r="N414" t="s">
        <v>15</v>
      </c>
      <c r="Q414" s="9">
        <v>78</v>
      </c>
      <c r="R414" t="s">
        <v>52</v>
      </c>
      <c r="S414" s="7">
        <v>37</v>
      </c>
      <c r="V414" s="10" t="s">
        <v>1090</v>
      </c>
      <c r="X414" s="10" t="s">
        <v>1091</v>
      </c>
      <c r="Y414" s="10" t="s">
        <v>1092</v>
      </c>
      <c r="Z414" t="s">
        <v>56</v>
      </c>
    </row>
    <row r="415" spans="1:26">
      <c r="A415">
        <v>64</v>
      </c>
      <c r="B415" t="s">
        <v>1054</v>
      </c>
      <c r="C415" t="s">
        <v>1055</v>
      </c>
      <c r="D415" t="s">
        <v>1056</v>
      </c>
      <c r="E415" t="s">
        <v>998</v>
      </c>
      <c r="F415" t="s">
        <v>1057</v>
      </c>
      <c r="G415" t="s">
        <v>103</v>
      </c>
      <c r="H415" t="s">
        <v>10</v>
      </c>
      <c r="I415">
        <v>0</v>
      </c>
      <c r="J415" t="s">
        <v>1093</v>
      </c>
      <c r="K415" s="9">
        <v>70.45999999999999</v>
      </c>
      <c r="L415" s="9">
        <v>4.31</v>
      </c>
      <c r="M415" s="9">
        <v>23.84</v>
      </c>
      <c r="N415" t="s">
        <v>15</v>
      </c>
      <c r="Q415" s="9">
        <v>72</v>
      </c>
      <c r="R415" t="s">
        <v>52</v>
      </c>
      <c r="S415" s="7">
        <v>31</v>
      </c>
      <c r="V415" s="10" t="s">
        <v>1094</v>
      </c>
      <c r="X415" s="10" t="s">
        <v>1095</v>
      </c>
      <c r="Y415" s="10" t="s">
        <v>1096</v>
      </c>
      <c r="Z415" t="s">
        <v>56</v>
      </c>
    </row>
    <row r="416" spans="1:26">
      <c r="A416">
        <v>65</v>
      </c>
      <c r="B416" t="s">
        <v>1054</v>
      </c>
      <c r="C416" t="s">
        <v>1055</v>
      </c>
      <c r="D416" t="s">
        <v>1056</v>
      </c>
      <c r="E416" t="s">
        <v>998</v>
      </c>
      <c r="F416" t="s">
        <v>1057</v>
      </c>
      <c r="G416" t="s">
        <v>107</v>
      </c>
      <c r="H416" t="s">
        <v>10</v>
      </c>
      <c r="I416">
        <v>0</v>
      </c>
      <c r="J416" t="s">
        <v>108</v>
      </c>
      <c r="K416" s="9">
        <v>63.75</v>
      </c>
      <c r="L416" s="9">
        <v>0.64</v>
      </c>
      <c r="M416" s="9">
        <v>1.57</v>
      </c>
      <c r="N416" t="s">
        <v>15</v>
      </c>
      <c r="Q416" s="9">
        <v>65</v>
      </c>
      <c r="R416" t="s">
        <v>52</v>
      </c>
      <c r="S416" s="7">
        <v>28</v>
      </c>
      <c r="V416" s="10" t="s">
        <v>1097</v>
      </c>
      <c r="X416" s="10" t="s">
        <v>1098</v>
      </c>
      <c r="Y416" s="10" t="s">
        <v>1099</v>
      </c>
      <c r="Z416" t="s">
        <v>56</v>
      </c>
    </row>
    <row r="417" spans="1:26">
      <c r="A417">
        <v>66</v>
      </c>
      <c r="B417" t="s">
        <v>1054</v>
      </c>
      <c r="C417" t="s">
        <v>1055</v>
      </c>
      <c r="D417" t="s">
        <v>1056</v>
      </c>
      <c r="E417" t="s">
        <v>998</v>
      </c>
      <c r="F417" t="s">
        <v>1057</v>
      </c>
      <c r="G417" t="s">
        <v>112</v>
      </c>
      <c r="H417" t="s">
        <v>10</v>
      </c>
      <c r="I417">
        <v>0</v>
      </c>
      <c r="J417" t="s">
        <v>1100</v>
      </c>
      <c r="K417" s="9">
        <v>60.01</v>
      </c>
      <c r="L417" s="9">
        <v>0.67</v>
      </c>
      <c r="M417" s="9">
        <v>1.72</v>
      </c>
      <c r="N417" t="s">
        <v>15</v>
      </c>
      <c r="Q417" s="9">
        <v>61</v>
      </c>
      <c r="R417" t="s">
        <v>52</v>
      </c>
      <c r="S417" s="7">
        <v>29.5</v>
      </c>
      <c r="V417" s="10" t="s">
        <v>1101</v>
      </c>
      <c r="X417" s="10" t="s">
        <v>1102</v>
      </c>
      <c r="Y417" s="10" t="s">
        <v>1103</v>
      </c>
      <c r="Z417" t="s">
        <v>56</v>
      </c>
    </row>
    <row r="418" spans="1:26">
      <c r="A418">
        <v>67</v>
      </c>
      <c r="B418" t="s">
        <v>1054</v>
      </c>
      <c r="C418" t="s">
        <v>1055</v>
      </c>
      <c r="D418" t="s">
        <v>1056</v>
      </c>
      <c r="E418" t="s">
        <v>998</v>
      </c>
      <c r="F418" t="s">
        <v>1057</v>
      </c>
      <c r="G418" t="s">
        <v>116</v>
      </c>
      <c r="H418" t="s">
        <v>10</v>
      </c>
      <c r="I418">
        <v>0</v>
      </c>
      <c r="J418" t="s">
        <v>1104</v>
      </c>
      <c r="K418" s="9">
        <v>67.40000000000001</v>
      </c>
      <c r="L418" s="9">
        <v>2.43</v>
      </c>
      <c r="M418" s="9">
        <v>5.84</v>
      </c>
      <c r="N418" t="s">
        <v>15</v>
      </c>
      <c r="Q418" s="9">
        <v>66</v>
      </c>
      <c r="R418" t="s">
        <v>100</v>
      </c>
      <c r="S418" s="7">
        <v>32</v>
      </c>
      <c r="V418" s="10" t="s">
        <v>1105</v>
      </c>
      <c r="X418" s="10" t="s">
        <v>1106</v>
      </c>
      <c r="Y418" s="10" t="s">
        <v>1107</v>
      </c>
      <c r="Z418" t="s">
        <v>56</v>
      </c>
    </row>
    <row r="419" spans="1:26">
      <c r="A419">
        <v>68</v>
      </c>
      <c r="B419" t="s">
        <v>1054</v>
      </c>
      <c r="C419" t="s">
        <v>1055</v>
      </c>
      <c r="D419" t="s">
        <v>1056</v>
      </c>
      <c r="E419" t="s">
        <v>998</v>
      </c>
      <c r="F419" t="s">
        <v>1057</v>
      </c>
      <c r="G419" t="s">
        <v>120</v>
      </c>
      <c r="H419" t="s">
        <v>10</v>
      </c>
      <c r="I419">
        <v>0</v>
      </c>
      <c r="J419" t="s">
        <v>491</v>
      </c>
      <c r="K419" s="9">
        <v>67.78</v>
      </c>
      <c r="L419" s="9">
        <v>2.82</v>
      </c>
      <c r="M419" s="9">
        <v>6.34</v>
      </c>
      <c r="N419" t="s">
        <v>15</v>
      </c>
      <c r="Q419" s="9">
        <v>67</v>
      </c>
      <c r="R419" t="s">
        <v>100</v>
      </c>
      <c r="S419" s="7">
        <v>33.5</v>
      </c>
      <c r="V419" s="10" t="s">
        <v>1108</v>
      </c>
      <c r="X419" s="10" t="s">
        <v>1109</v>
      </c>
      <c r="Y419" s="10" t="s">
        <v>1110</v>
      </c>
      <c r="Z419" t="s">
        <v>56</v>
      </c>
    </row>
    <row r="420" spans="1:26">
      <c r="A420">
        <v>69</v>
      </c>
      <c r="B420" t="s">
        <v>1054</v>
      </c>
      <c r="C420" t="s">
        <v>1055</v>
      </c>
      <c r="D420" t="s">
        <v>1056</v>
      </c>
      <c r="E420" t="s">
        <v>998</v>
      </c>
      <c r="F420" t="s">
        <v>1057</v>
      </c>
      <c r="G420" t="s">
        <v>124</v>
      </c>
      <c r="H420" t="s">
        <v>10</v>
      </c>
      <c r="I420">
        <v>0</v>
      </c>
      <c r="J420" t="s">
        <v>125</v>
      </c>
      <c r="K420" s="9">
        <v>71.92</v>
      </c>
      <c r="L420" s="9">
        <v>6.61</v>
      </c>
      <c r="M420" s="9">
        <v>6.75</v>
      </c>
      <c r="N420" t="s">
        <v>15</v>
      </c>
      <c r="Q420" s="9">
        <v>70</v>
      </c>
      <c r="R420" t="s">
        <v>100</v>
      </c>
      <c r="S420" s="7">
        <v>35.5</v>
      </c>
      <c r="V420" s="10" t="s">
        <v>1111</v>
      </c>
      <c r="X420" s="10" t="s">
        <v>1112</v>
      </c>
      <c r="Y420" s="10" t="s">
        <v>1113</v>
      </c>
      <c r="Z420" t="s">
        <v>56</v>
      </c>
    </row>
    <row r="421" spans="1:26">
      <c r="A421">
        <v>70</v>
      </c>
      <c r="B421" t="s">
        <v>1054</v>
      </c>
      <c r="C421" t="s">
        <v>1055</v>
      </c>
      <c r="D421" t="s">
        <v>1056</v>
      </c>
      <c r="E421" t="s">
        <v>998</v>
      </c>
      <c r="F421" t="s">
        <v>1057</v>
      </c>
      <c r="G421" t="s">
        <v>128</v>
      </c>
      <c r="H421" t="s">
        <v>10</v>
      </c>
      <c r="I421">
        <v>0</v>
      </c>
      <c r="J421" t="s">
        <v>316</v>
      </c>
      <c r="K421" s="9">
        <v>74.06999999999999</v>
      </c>
      <c r="L421" s="9">
        <v>10.44</v>
      </c>
      <c r="M421" s="9">
        <v>9.84</v>
      </c>
      <c r="N421" t="s">
        <v>15</v>
      </c>
      <c r="Q421" s="9">
        <v>73</v>
      </c>
      <c r="R421" t="s">
        <v>59</v>
      </c>
      <c r="S421" s="7">
        <v>38.5</v>
      </c>
      <c r="V421" s="10" t="s">
        <v>1114</v>
      </c>
      <c r="X421" s="10" t="s">
        <v>1115</v>
      </c>
      <c r="Y421" s="10" t="s">
        <v>1116</v>
      </c>
      <c r="Z421" t="s">
        <v>56</v>
      </c>
    </row>
    <row r="422" spans="1:26">
      <c r="A422">
        <v>71</v>
      </c>
      <c r="B422" t="s">
        <v>1054</v>
      </c>
      <c r="C422" t="s">
        <v>1055</v>
      </c>
      <c r="D422" t="s">
        <v>1056</v>
      </c>
      <c r="E422" t="s">
        <v>998</v>
      </c>
      <c r="F422" t="s">
        <v>1057</v>
      </c>
      <c r="G422" t="s">
        <v>133</v>
      </c>
      <c r="H422" t="s">
        <v>10</v>
      </c>
      <c r="I422">
        <v>0</v>
      </c>
      <c r="J422" t="s">
        <v>134</v>
      </c>
      <c r="K422" s="9">
        <v>79.09999999999999</v>
      </c>
      <c r="L422" s="9">
        <v>9.18</v>
      </c>
      <c r="M422" s="9">
        <v>10.1</v>
      </c>
      <c r="N422" t="s">
        <v>15</v>
      </c>
      <c r="Q422" s="9">
        <v>80</v>
      </c>
      <c r="R422" t="s">
        <v>52</v>
      </c>
      <c r="S422" s="7">
        <v>36.5</v>
      </c>
      <c r="V422" s="10" t="s">
        <v>1117</v>
      </c>
      <c r="X422" s="10" t="s">
        <v>1118</v>
      </c>
      <c r="Y422" s="10" t="s">
        <v>1119</v>
      </c>
      <c r="Z422" t="s">
        <v>56</v>
      </c>
    </row>
    <row r="423" spans="1:26">
      <c r="A423">
        <v>72</v>
      </c>
      <c r="B423" t="s">
        <v>1054</v>
      </c>
      <c r="C423" t="s">
        <v>1055</v>
      </c>
      <c r="D423" t="s">
        <v>1056</v>
      </c>
      <c r="E423" t="s">
        <v>998</v>
      </c>
      <c r="F423" t="s">
        <v>1057</v>
      </c>
      <c r="G423" t="s">
        <v>137</v>
      </c>
      <c r="H423" t="s">
        <v>10</v>
      </c>
      <c r="I423">
        <v>0</v>
      </c>
      <c r="J423" t="s">
        <v>607</v>
      </c>
      <c r="K423" s="9">
        <v>75.77</v>
      </c>
      <c r="L423" s="9">
        <v>6.5</v>
      </c>
      <c r="M423" s="9">
        <v>5.8</v>
      </c>
      <c r="N423" t="s">
        <v>15</v>
      </c>
      <c r="Q423" s="9">
        <v>78.2</v>
      </c>
      <c r="R423" t="s">
        <v>52</v>
      </c>
      <c r="S423" s="7">
        <v>34.5</v>
      </c>
      <c r="V423" s="10" t="s">
        <v>1120</v>
      </c>
      <c r="X423" s="10" t="s">
        <v>1121</v>
      </c>
      <c r="Y423" s="10" t="s">
        <v>1122</v>
      </c>
      <c r="Z423" t="s">
        <v>56</v>
      </c>
    </row>
    <row r="424" spans="1:26">
      <c r="A424">
        <v>73</v>
      </c>
      <c r="B424" t="s">
        <v>1054</v>
      </c>
      <c r="C424" t="s">
        <v>1055</v>
      </c>
      <c r="D424" t="s">
        <v>1056</v>
      </c>
      <c r="E424" t="s">
        <v>998</v>
      </c>
      <c r="F424" t="s">
        <v>1057</v>
      </c>
      <c r="G424" t="s">
        <v>141</v>
      </c>
      <c r="H424" t="s">
        <v>10</v>
      </c>
      <c r="I424">
        <v>0</v>
      </c>
      <c r="J424" t="s">
        <v>325</v>
      </c>
      <c r="K424" s="9">
        <v>79</v>
      </c>
      <c r="L424" s="9">
        <v>8.699999999999999</v>
      </c>
      <c r="M424" s="9">
        <v>7.3</v>
      </c>
      <c r="N424" t="s">
        <v>15</v>
      </c>
      <c r="Q424" s="9">
        <v>77.5</v>
      </c>
      <c r="R424" t="s">
        <v>59</v>
      </c>
      <c r="S424" s="7">
        <v>37</v>
      </c>
      <c r="V424" s="10" t="s">
        <v>1123</v>
      </c>
      <c r="X424" s="10" t="s">
        <v>1124</v>
      </c>
      <c r="Y424" s="10" t="s">
        <v>1125</v>
      </c>
      <c r="Z424" t="s">
        <v>56</v>
      </c>
    </row>
    <row r="425" spans="1:26">
      <c r="A425">
        <v>74</v>
      </c>
      <c r="B425" t="s">
        <v>1054</v>
      </c>
      <c r="C425" t="s">
        <v>1055</v>
      </c>
      <c r="D425" t="s">
        <v>1056</v>
      </c>
      <c r="E425" t="s">
        <v>998</v>
      </c>
      <c r="F425" t="s">
        <v>1057</v>
      </c>
      <c r="G425" t="s">
        <v>146</v>
      </c>
      <c r="H425" t="s">
        <v>10</v>
      </c>
      <c r="I425">
        <v>0</v>
      </c>
      <c r="J425" t="s">
        <v>147</v>
      </c>
      <c r="K425" s="9">
        <v>82.5</v>
      </c>
      <c r="L425" s="9">
        <v>10.8</v>
      </c>
      <c r="M425" s="9">
        <v>8.9</v>
      </c>
      <c r="N425" t="s">
        <v>15</v>
      </c>
      <c r="Q425" s="9">
        <v>81</v>
      </c>
      <c r="R425" t="s">
        <v>59</v>
      </c>
      <c r="S425" s="7">
        <v>39</v>
      </c>
      <c r="V425" s="10" t="s">
        <v>1126</v>
      </c>
      <c r="X425" s="10" t="s">
        <v>1127</v>
      </c>
      <c r="Y425" s="10" t="s">
        <v>1128</v>
      </c>
      <c r="Z425" t="s">
        <v>56</v>
      </c>
    </row>
    <row r="426" spans="1:26">
      <c r="A426">
        <v>75</v>
      </c>
      <c r="B426" t="s">
        <v>1054</v>
      </c>
      <c r="C426" t="s">
        <v>1055</v>
      </c>
      <c r="D426" t="s">
        <v>1056</v>
      </c>
      <c r="E426" t="s">
        <v>998</v>
      </c>
      <c r="F426" t="s">
        <v>1057</v>
      </c>
      <c r="G426" t="s">
        <v>150</v>
      </c>
      <c r="H426" t="s">
        <v>10</v>
      </c>
      <c r="I426">
        <v>0</v>
      </c>
      <c r="J426" t="s">
        <v>151</v>
      </c>
      <c r="K426" s="9">
        <v>88</v>
      </c>
      <c r="L426" s="9">
        <v>14.2</v>
      </c>
      <c r="M426" s="9">
        <v>11.8</v>
      </c>
      <c r="N426" t="s">
        <v>15</v>
      </c>
      <c r="Q426" s="9">
        <v>86</v>
      </c>
      <c r="R426" t="s">
        <v>59</v>
      </c>
      <c r="S426" s="7">
        <v>42</v>
      </c>
      <c r="V426" s="10" t="s">
        <v>1129</v>
      </c>
      <c r="X426" s="10" t="s">
        <v>1130</v>
      </c>
      <c r="Y426" s="10" t="s">
        <v>1131</v>
      </c>
      <c r="Z426" t="s">
        <v>56</v>
      </c>
    </row>
    <row r="427" spans="1:26">
      <c r="A427">
        <v>76</v>
      </c>
      <c r="B427" t="s">
        <v>1054</v>
      </c>
      <c r="C427" t="s">
        <v>1055</v>
      </c>
      <c r="D427" t="s">
        <v>1056</v>
      </c>
      <c r="E427" t="s">
        <v>998</v>
      </c>
      <c r="F427" t="s">
        <v>1057</v>
      </c>
      <c r="G427" t="s">
        <v>155</v>
      </c>
      <c r="H427" t="s">
        <v>10</v>
      </c>
      <c r="I427">
        <v>0</v>
      </c>
      <c r="J427" t="s">
        <v>335</v>
      </c>
      <c r="K427" s="9">
        <v>171.5</v>
      </c>
      <c r="L427" s="9">
        <v>89.5</v>
      </c>
      <c r="M427" s="9">
        <v>13</v>
      </c>
      <c r="N427" t="s">
        <v>15</v>
      </c>
      <c r="Q427" s="9">
        <v>89.5</v>
      </c>
      <c r="R427" t="s">
        <v>59</v>
      </c>
      <c r="S427" s="7">
        <v>42.5</v>
      </c>
      <c r="T427" s="7">
        <v>52.2</v>
      </c>
      <c r="V427" s="10" t="s">
        <v>1132</v>
      </c>
      <c r="X427" s="10" t="s">
        <v>1133</v>
      </c>
      <c r="Y427" s="10" t="s">
        <v>1134</v>
      </c>
      <c r="Z427" t="s">
        <v>56</v>
      </c>
    </row>
    <row r="428" spans="1:26">
      <c r="A428">
        <v>77</v>
      </c>
      <c r="B428" t="s">
        <v>1054</v>
      </c>
      <c r="C428" t="s">
        <v>1055</v>
      </c>
      <c r="D428" t="s">
        <v>1056</v>
      </c>
      <c r="E428" t="s">
        <v>998</v>
      </c>
      <c r="F428" t="s">
        <v>1057</v>
      </c>
      <c r="G428" t="s">
        <v>159</v>
      </c>
      <c r="H428" t="s">
        <v>11</v>
      </c>
      <c r="I428">
        <v>1</v>
      </c>
      <c r="K428" s="9">
        <v>94.5</v>
      </c>
      <c r="L428" s="9">
        <v>16.8</v>
      </c>
      <c r="M428" s="9">
        <v>13.8</v>
      </c>
      <c r="N428" t="s">
        <v>15</v>
      </c>
      <c r="Q428" s="9">
        <v>93</v>
      </c>
      <c r="S428" s="7">
        <v>43</v>
      </c>
      <c r="V428" s="10" t="s">
        <v>1135</v>
      </c>
      <c r="X428" s="10" t="s">
        <v>1136</v>
      </c>
      <c r="Y428" s="10" t="s">
        <v>1137</v>
      </c>
      <c r="Z428" t="s">
        <v>56</v>
      </c>
    </row>
    <row r="429" spans="1:26">
      <c r="A429">
        <v>78</v>
      </c>
      <c r="B429" t="s">
        <v>1054</v>
      </c>
      <c r="C429" t="s">
        <v>1055</v>
      </c>
      <c r="D429" t="s">
        <v>1056</v>
      </c>
      <c r="E429" t="s">
        <v>998</v>
      </c>
      <c r="F429" t="s">
        <v>1057</v>
      </c>
      <c r="G429" t="s">
        <v>163</v>
      </c>
      <c r="H429" t="s">
        <v>11</v>
      </c>
      <c r="I429">
        <v>1</v>
      </c>
      <c r="K429" s="9">
        <v>97</v>
      </c>
      <c r="L429" s="9">
        <v>17.5</v>
      </c>
      <c r="M429" s="9">
        <v>14.5</v>
      </c>
      <c r="N429" t="s">
        <v>15</v>
      </c>
      <c r="Q429" s="9">
        <v>95.5</v>
      </c>
      <c r="S429" s="7">
        <v>43.5</v>
      </c>
      <c r="V429" s="10" t="s">
        <v>1138</v>
      </c>
      <c r="X429" s="10" t="s">
        <v>1139</v>
      </c>
      <c r="Y429" s="10" t="s">
        <v>1137</v>
      </c>
      <c r="Z429" t="s">
        <v>56</v>
      </c>
    </row>
    <row r="430" spans="1:26">
      <c r="A430">
        <v>27</v>
      </c>
      <c r="B430" t="s">
        <v>1140</v>
      </c>
      <c r="C430" t="s">
        <v>1141</v>
      </c>
      <c r="D430" t="s">
        <v>1142</v>
      </c>
      <c r="E430" t="s">
        <v>998</v>
      </c>
      <c r="F430" t="s">
        <v>1143</v>
      </c>
      <c r="G430" t="s">
        <v>50</v>
      </c>
      <c r="H430" t="s">
        <v>10</v>
      </c>
      <c r="I430">
        <v>0</v>
      </c>
      <c r="J430" t="s">
        <v>1144</v>
      </c>
      <c r="K430" s="9">
        <v>6.35</v>
      </c>
      <c r="L430" s="9">
        <v>0.3</v>
      </c>
      <c r="M430" s="9">
        <v>0.21</v>
      </c>
      <c r="N430" t="s">
        <v>15</v>
      </c>
      <c r="Q430" s="9">
        <v>6.15</v>
      </c>
      <c r="R430" t="s">
        <v>100</v>
      </c>
      <c r="S430" s="7">
        <v>27</v>
      </c>
      <c r="V430" s="10" t="s">
        <v>1145</v>
      </c>
      <c r="X430" s="10" t="s">
        <v>1146</v>
      </c>
      <c r="Y430" s="10" t="s">
        <v>1147</v>
      </c>
      <c r="Z430" t="s">
        <v>56</v>
      </c>
    </row>
    <row r="431" spans="1:26">
      <c r="A431">
        <v>28</v>
      </c>
      <c r="B431" t="s">
        <v>1140</v>
      </c>
      <c r="C431" t="s">
        <v>1141</v>
      </c>
      <c r="D431" t="s">
        <v>1142</v>
      </c>
      <c r="E431" t="s">
        <v>998</v>
      </c>
      <c r="F431" t="s">
        <v>1143</v>
      </c>
      <c r="G431" t="s">
        <v>57</v>
      </c>
      <c r="H431" t="s">
        <v>10</v>
      </c>
      <c r="I431">
        <v>0</v>
      </c>
      <c r="J431" t="s">
        <v>1148</v>
      </c>
      <c r="K431" s="9">
        <v>8.609999999999999</v>
      </c>
      <c r="L431" s="9">
        <v>1.95</v>
      </c>
      <c r="M431" s="9">
        <v>1.26</v>
      </c>
      <c r="N431" t="s">
        <v>15</v>
      </c>
      <c r="Q431" s="9">
        <v>7.8</v>
      </c>
      <c r="R431" t="s">
        <v>59</v>
      </c>
      <c r="S431" s="7">
        <v>38.5</v>
      </c>
      <c r="V431" s="10" t="s">
        <v>1149</v>
      </c>
      <c r="X431" s="10" t="s">
        <v>1150</v>
      </c>
      <c r="Y431" s="10" t="s">
        <v>1151</v>
      </c>
      <c r="Z431" t="s">
        <v>56</v>
      </c>
    </row>
    <row r="432" spans="1:26">
      <c r="A432">
        <v>29</v>
      </c>
      <c r="B432" t="s">
        <v>1140</v>
      </c>
      <c r="C432" t="s">
        <v>1141</v>
      </c>
      <c r="D432" t="s">
        <v>1142</v>
      </c>
      <c r="E432" t="s">
        <v>998</v>
      </c>
      <c r="F432" t="s">
        <v>1143</v>
      </c>
      <c r="G432" t="s">
        <v>62</v>
      </c>
      <c r="H432" t="s">
        <v>10</v>
      </c>
      <c r="I432">
        <v>0</v>
      </c>
      <c r="J432" t="s">
        <v>1152</v>
      </c>
      <c r="K432" s="9">
        <v>8.130000000000001</v>
      </c>
      <c r="L432" s="9">
        <v>1.3</v>
      </c>
      <c r="M432" s="9">
        <v>1.08</v>
      </c>
      <c r="N432" t="s">
        <v>15</v>
      </c>
      <c r="Q432" s="9">
        <v>7.9</v>
      </c>
      <c r="R432" t="s">
        <v>100</v>
      </c>
      <c r="S432" s="7">
        <v>33.1</v>
      </c>
      <c r="V432" s="10" t="s">
        <v>1153</v>
      </c>
      <c r="X432" s="10" t="s">
        <v>1154</v>
      </c>
      <c r="Y432" s="10" t="s">
        <v>1155</v>
      </c>
      <c r="Z432" t="s">
        <v>56</v>
      </c>
    </row>
    <row r="433" spans="1:26">
      <c r="A433">
        <v>30</v>
      </c>
      <c r="B433" t="s">
        <v>1140</v>
      </c>
      <c r="C433" t="s">
        <v>1141</v>
      </c>
      <c r="D433" t="s">
        <v>1142</v>
      </c>
      <c r="E433" t="s">
        <v>998</v>
      </c>
      <c r="F433" t="s">
        <v>1143</v>
      </c>
      <c r="G433" t="s">
        <v>66</v>
      </c>
      <c r="H433" t="s">
        <v>10</v>
      </c>
      <c r="I433">
        <v>0</v>
      </c>
      <c r="J433" t="s">
        <v>1067</v>
      </c>
      <c r="K433" s="9">
        <v>7.97</v>
      </c>
      <c r="L433" s="9">
        <v>0.97</v>
      </c>
      <c r="M433" s="9">
        <v>1.77</v>
      </c>
      <c r="N433" t="s">
        <v>15</v>
      </c>
      <c r="Q433" s="9">
        <v>7.8</v>
      </c>
      <c r="R433" t="s">
        <v>100</v>
      </c>
      <c r="S433" s="7">
        <v>31</v>
      </c>
      <c r="V433" s="10" t="s">
        <v>1156</v>
      </c>
      <c r="X433" s="10" t="s">
        <v>1157</v>
      </c>
      <c r="Y433" s="10" t="s">
        <v>1158</v>
      </c>
      <c r="Z433" t="s">
        <v>56</v>
      </c>
    </row>
    <row r="434" spans="1:26">
      <c r="A434">
        <v>31</v>
      </c>
      <c r="B434" t="s">
        <v>1140</v>
      </c>
      <c r="C434" t="s">
        <v>1141</v>
      </c>
      <c r="D434" t="s">
        <v>1142</v>
      </c>
      <c r="E434" t="s">
        <v>998</v>
      </c>
      <c r="F434" t="s">
        <v>1143</v>
      </c>
      <c r="G434" t="s">
        <v>71</v>
      </c>
      <c r="H434" t="s">
        <v>10</v>
      </c>
      <c r="I434">
        <v>0</v>
      </c>
      <c r="J434" t="s">
        <v>1159</v>
      </c>
      <c r="K434" s="9">
        <v>8.49</v>
      </c>
      <c r="L434" s="9">
        <v>1.32</v>
      </c>
      <c r="M434" s="9">
        <v>0.99</v>
      </c>
      <c r="N434" t="s">
        <v>15</v>
      </c>
      <c r="Q434" s="9">
        <v>8.300000000000001</v>
      </c>
      <c r="R434" t="s">
        <v>100</v>
      </c>
      <c r="S434" s="7">
        <v>34</v>
      </c>
      <c r="V434" s="10" t="s">
        <v>1160</v>
      </c>
      <c r="X434" s="10" t="s">
        <v>1161</v>
      </c>
      <c r="Y434" s="10" t="s">
        <v>1162</v>
      </c>
      <c r="Z434" t="s">
        <v>56</v>
      </c>
    </row>
    <row r="435" spans="1:26">
      <c r="A435">
        <v>32</v>
      </c>
      <c r="B435" t="s">
        <v>1140</v>
      </c>
      <c r="C435" t="s">
        <v>1141</v>
      </c>
      <c r="D435" t="s">
        <v>1142</v>
      </c>
      <c r="E435" t="s">
        <v>998</v>
      </c>
      <c r="F435" t="s">
        <v>1143</v>
      </c>
      <c r="G435" t="s">
        <v>75</v>
      </c>
      <c r="H435" t="s">
        <v>10</v>
      </c>
      <c r="I435">
        <v>0</v>
      </c>
      <c r="J435" t="s">
        <v>1163</v>
      </c>
      <c r="K435" s="9">
        <v>10.32</v>
      </c>
      <c r="L435" s="9">
        <v>2.69</v>
      </c>
      <c r="M435" s="9">
        <v>1.99</v>
      </c>
      <c r="N435" t="s">
        <v>15</v>
      </c>
      <c r="Q435" s="9">
        <v>9.5</v>
      </c>
      <c r="R435" t="s">
        <v>59</v>
      </c>
      <c r="S435" s="7">
        <v>42</v>
      </c>
      <c r="V435" s="10" t="s">
        <v>1164</v>
      </c>
      <c r="X435" s="10" t="s">
        <v>1165</v>
      </c>
      <c r="Y435" s="10" t="s">
        <v>1166</v>
      </c>
      <c r="Z435" t="s">
        <v>56</v>
      </c>
    </row>
    <row r="436" spans="1:26">
      <c r="A436">
        <v>33</v>
      </c>
      <c r="B436" t="s">
        <v>1140</v>
      </c>
      <c r="C436" t="s">
        <v>1141</v>
      </c>
      <c r="D436" t="s">
        <v>1142</v>
      </c>
      <c r="E436" t="s">
        <v>998</v>
      </c>
      <c r="F436" t="s">
        <v>1143</v>
      </c>
      <c r="G436" t="s">
        <v>80</v>
      </c>
      <c r="H436" t="s">
        <v>10</v>
      </c>
      <c r="I436">
        <v>0</v>
      </c>
      <c r="J436" t="s">
        <v>589</v>
      </c>
      <c r="K436" s="9">
        <v>11.81</v>
      </c>
      <c r="L436" s="9">
        <v>4.17</v>
      </c>
      <c r="M436" s="9">
        <v>3.32</v>
      </c>
      <c r="N436" t="s">
        <v>15</v>
      </c>
      <c r="Q436" s="9">
        <v>11</v>
      </c>
      <c r="R436" t="s">
        <v>59</v>
      </c>
      <c r="S436" s="7">
        <v>47.5</v>
      </c>
      <c r="V436" s="10" t="s">
        <v>1164</v>
      </c>
      <c r="X436" s="10" t="s">
        <v>1167</v>
      </c>
      <c r="Y436" s="10" t="s">
        <v>1168</v>
      </c>
      <c r="Z436" t="s">
        <v>56</v>
      </c>
    </row>
    <row r="437" spans="1:26">
      <c r="A437">
        <v>34</v>
      </c>
      <c r="B437" t="s">
        <v>1140</v>
      </c>
      <c r="C437" t="s">
        <v>1141</v>
      </c>
      <c r="D437" t="s">
        <v>1142</v>
      </c>
      <c r="E437" t="s">
        <v>998</v>
      </c>
      <c r="F437" t="s">
        <v>1143</v>
      </c>
      <c r="G437" t="s">
        <v>85</v>
      </c>
      <c r="H437" t="s">
        <v>10</v>
      </c>
      <c r="I437">
        <v>0</v>
      </c>
      <c r="J437" t="s">
        <v>1080</v>
      </c>
      <c r="K437" s="9">
        <v>12.38</v>
      </c>
      <c r="L437" s="9">
        <v>4.22</v>
      </c>
      <c r="M437" s="9">
        <v>3.32</v>
      </c>
      <c r="N437" t="s">
        <v>15</v>
      </c>
      <c r="Q437" s="9">
        <v>12</v>
      </c>
      <c r="R437" t="s">
        <v>100</v>
      </c>
      <c r="S437" s="7">
        <v>48</v>
      </c>
      <c r="V437" s="10" t="s">
        <v>1156</v>
      </c>
      <c r="X437" s="10" t="s">
        <v>1169</v>
      </c>
      <c r="Y437" s="10" t="s">
        <v>1170</v>
      </c>
      <c r="Z437" t="s">
        <v>56</v>
      </c>
    </row>
    <row r="438" spans="1:26">
      <c r="A438">
        <v>35</v>
      </c>
      <c r="B438" t="s">
        <v>1140</v>
      </c>
      <c r="C438" t="s">
        <v>1141</v>
      </c>
      <c r="D438" t="s">
        <v>1142</v>
      </c>
      <c r="E438" t="s">
        <v>998</v>
      </c>
      <c r="F438" t="s">
        <v>1143</v>
      </c>
      <c r="G438" t="s">
        <v>89</v>
      </c>
      <c r="H438" t="s">
        <v>10</v>
      </c>
      <c r="I438">
        <v>0</v>
      </c>
      <c r="J438" t="s">
        <v>287</v>
      </c>
      <c r="K438" s="9">
        <v>12.16</v>
      </c>
      <c r="L438" s="9">
        <v>2.86</v>
      </c>
      <c r="M438" s="9">
        <v>1.98</v>
      </c>
      <c r="N438" t="s">
        <v>15</v>
      </c>
      <c r="Q438" s="9">
        <v>12</v>
      </c>
      <c r="R438" t="s">
        <v>100</v>
      </c>
      <c r="S438" s="7">
        <v>39</v>
      </c>
      <c r="V438" s="10" t="s">
        <v>1160</v>
      </c>
      <c r="X438" s="10" t="s">
        <v>1171</v>
      </c>
      <c r="Y438" s="10" t="s">
        <v>1172</v>
      </c>
      <c r="Z438" t="s">
        <v>56</v>
      </c>
    </row>
    <row r="439" spans="1:26">
      <c r="A439">
        <v>36</v>
      </c>
      <c r="B439" t="s">
        <v>1140</v>
      </c>
      <c r="C439" t="s">
        <v>1141</v>
      </c>
      <c r="D439" t="s">
        <v>1142</v>
      </c>
      <c r="E439" t="s">
        <v>998</v>
      </c>
      <c r="F439" t="s">
        <v>1143</v>
      </c>
      <c r="G439" t="s">
        <v>93</v>
      </c>
      <c r="H439" t="s">
        <v>10</v>
      </c>
      <c r="I439">
        <v>0</v>
      </c>
      <c r="J439" t="s">
        <v>291</v>
      </c>
      <c r="K439" s="9">
        <v>13.81</v>
      </c>
      <c r="L439" s="9">
        <v>4.19</v>
      </c>
      <c r="M439" s="9">
        <v>2.88</v>
      </c>
      <c r="N439" t="s">
        <v>15</v>
      </c>
      <c r="Q439" s="9">
        <v>13.5</v>
      </c>
      <c r="R439" t="s">
        <v>100</v>
      </c>
      <c r="S439" s="7">
        <v>45</v>
      </c>
      <c r="V439" s="10" t="s">
        <v>1173</v>
      </c>
      <c r="X439" s="10" t="s">
        <v>1174</v>
      </c>
      <c r="Y439" s="10" t="s">
        <v>1175</v>
      </c>
      <c r="Z439" t="s">
        <v>56</v>
      </c>
    </row>
    <row r="440" spans="1:26">
      <c r="A440">
        <v>37</v>
      </c>
      <c r="B440" t="s">
        <v>1140</v>
      </c>
      <c r="C440" t="s">
        <v>1141</v>
      </c>
      <c r="D440" t="s">
        <v>1142</v>
      </c>
      <c r="E440" t="s">
        <v>998</v>
      </c>
      <c r="F440" t="s">
        <v>1143</v>
      </c>
      <c r="G440" t="s">
        <v>98</v>
      </c>
      <c r="H440" t="s">
        <v>10</v>
      </c>
      <c r="I440">
        <v>0</v>
      </c>
      <c r="J440" t="s">
        <v>295</v>
      </c>
      <c r="K440" s="9">
        <v>10.98</v>
      </c>
      <c r="L440" s="9">
        <v>1.66</v>
      </c>
      <c r="M440" s="9">
        <v>1.1</v>
      </c>
      <c r="N440" t="s">
        <v>15</v>
      </c>
      <c r="Q440" s="9">
        <v>11.8</v>
      </c>
      <c r="R440" t="s">
        <v>52</v>
      </c>
      <c r="S440" s="7">
        <v>31</v>
      </c>
      <c r="V440" s="10" t="s">
        <v>1156</v>
      </c>
      <c r="X440" s="10" t="s">
        <v>1176</v>
      </c>
      <c r="Y440" s="10" t="s">
        <v>1177</v>
      </c>
      <c r="Z440" t="s">
        <v>56</v>
      </c>
    </row>
    <row r="441" spans="1:26">
      <c r="A441">
        <v>38</v>
      </c>
      <c r="B441" t="s">
        <v>1140</v>
      </c>
      <c r="C441" t="s">
        <v>1141</v>
      </c>
      <c r="D441" t="s">
        <v>1142</v>
      </c>
      <c r="E441" t="s">
        <v>998</v>
      </c>
      <c r="F441" t="s">
        <v>1143</v>
      </c>
      <c r="G441" t="s">
        <v>103</v>
      </c>
      <c r="H441" t="s">
        <v>10</v>
      </c>
      <c r="I441">
        <v>0</v>
      </c>
      <c r="J441" t="s">
        <v>1093</v>
      </c>
      <c r="K441" s="9">
        <v>7.7</v>
      </c>
      <c r="L441" s="9">
        <v>-1.89</v>
      </c>
      <c r="M441" s="9">
        <v>-3.52</v>
      </c>
      <c r="N441" t="s">
        <v>15</v>
      </c>
      <c r="Q441" s="9">
        <v>8.5</v>
      </c>
      <c r="R441" t="s">
        <v>52</v>
      </c>
      <c r="S441" s="7">
        <v>10.5</v>
      </c>
      <c r="V441" s="10" t="s">
        <v>1156</v>
      </c>
      <c r="X441" s="10" t="s">
        <v>1178</v>
      </c>
      <c r="Y441" s="10" t="s">
        <v>1179</v>
      </c>
      <c r="Z441" t="s">
        <v>56</v>
      </c>
    </row>
    <row r="442" spans="1:26">
      <c r="A442">
        <v>39</v>
      </c>
      <c r="B442" t="s">
        <v>1140</v>
      </c>
      <c r="C442" t="s">
        <v>1141</v>
      </c>
      <c r="D442" t="s">
        <v>1142</v>
      </c>
      <c r="E442" t="s">
        <v>998</v>
      </c>
      <c r="F442" t="s">
        <v>1143</v>
      </c>
      <c r="G442" t="s">
        <v>107</v>
      </c>
      <c r="H442" t="s">
        <v>10</v>
      </c>
      <c r="I442">
        <v>0</v>
      </c>
      <c r="J442" t="s">
        <v>302</v>
      </c>
      <c r="K442" s="9">
        <v>5.09</v>
      </c>
      <c r="L442" s="9">
        <v>-3.4</v>
      </c>
      <c r="M442" s="9">
        <v>-2.59</v>
      </c>
      <c r="N442" t="s">
        <v>15</v>
      </c>
      <c r="Q442" s="9">
        <v>5.9</v>
      </c>
      <c r="R442" t="s">
        <v>52</v>
      </c>
      <c r="S442" s="7">
        <v>-5</v>
      </c>
      <c r="V442" s="10" t="s">
        <v>1149</v>
      </c>
      <c r="X442" s="10" t="s">
        <v>1180</v>
      </c>
      <c r="Y442" s="10" t="s">
        <v>1181</v>
      </c>
      <c r="Z442" t="s">
        <v>56</v>
      </c>
    </row>
    <row r="443" spans="1:26">
      <c r="A443">
        <v>40</v>
      </c>
      <c r="B443" t="s">
        <v>1140</v>
      </c>
      <c r="C443" t="s">
        <v>1141</v>
      </c>
      <c r="D443" t="s">
        <v>1142</v>
      </c>
      <c r="E443" t="s">
        <v>998</v>
      </c>
      <c r="F443" t="s">
        <v>1143</v>
      </c>
      <c r="G443" t="s">
        <v>112</v>
      </c>
      <c r="H443" t="s">
        <v>10</v>
      </c>
      <c r="I443">
        <v>0</v>
      </c>
      <c r="J443" t="s">
        <v>305</v>
      </c>
      <c r="K443" s="9">
        <v>7.31</v>
      </c>
      <c r="L443" s="9">
        <v>-2.88</v>
      </c>
      <c r="M443" s="9">
        <v>-2.19</v>
      </c>
      <c r="N443" t="s">
        <v>15</v>
      </c>
      <c r="Q443" s="9">
        <v>7</v>
      </c>
      <c r="R443" t="s">
        <v>100</v>
      </c>
      <c r="S443" s="7">
        <v>5</v>
      </c>
      <c r="V443" s="10" t="s">
        <v>1182</v>
      </c>
      <c r="X443" s="10" t="s">
        <v>1183</v>
      </c>
      <c r="Y443" s="10" t="s">
        <v>1184</v>
      </c>
      <c r="Z443" t="s">
        <v>56</v>
      </c>
    </row>
    <row r="444" spans="1:26">
      <c r="A444">
        <v>41</v>
      </c>
      <c r="B444" t="s">
        <v>1140</v>
      </c>
      <c r="C444" t="s">
        <v>1141</v>
      </c>
      <c r="D444" t="s">
        <v>1142</v>
      </c>
      <c r="E444" t="s">
        <v>998</v>
      </c>
      <c r="F444" t="s">
        <v>1143</v>
      </c>
      <c r="G444" t="s">
        <v>116</v>
      </c>
      <c r="H444" t="s">
        <v>10</v>
      </c>
      <c r="I444">
        <v>0</v>
      </c>
      <c r="J444" t="s">
        <v>308</v>
      </c>
      <c r="K444" s="9">
        <v>9.07</v>
      </c>
      <c r="L444" s="9">
        <v>-1.79</v>
      </c>
      <c r="M444" s="9">
        <v>-2.18</v>
      </c>
      <c r="N444" t="s">
        <v>15</v>
      </c>
      <c r="Q444" s="9">
        <v>8.5</v>
      </c>
      <c r="R444" t="s">
        <v>100</v>
      </c>
      <c r="S444" s="7">
        <v>18</v>
      </c>
      <c r="V444" s="10" t="s">
        <v>1185</v>
      </c>
      <c r="X444" s="10" t="s">
        <v>1186</v>
      </c>
      <c r="Y444" s="10" t="s">
        <v>1187</v>
      </c>
      <c r="Z444" t="s">
        <v>56</v>
      </c>
    </row>
    <row r="445" spans="1:26">
      <c r="A445">
        <v>42</v>
      </c>
      <c r="B445" t="s">
        <v>1140</v>
      </c>
      <c r="C445" t="s">
        <v>1141</v>
      </c>
      <c r="D445" t="s">
        <v>1142</v>
      </c>
      <c r="E445" t="s">
        <v>998</v>
      </c>
      <c r="F445" t="s">
        <v>1143</v>
      </c>
      <c r="G445" t="s">
        <v>120</v>
      </c>
      <c r="H445" t="s">
        <v>10</v>
      </c>
      <c r="I445">
        <v>0</v>
      </c>
      <c r="J445" t="s">
        <v>1188</v>
      </c>
      <c r="K445" s="9">
        <v>11.3</v>
      </c>
      <c r="L445" s="9">
        <v>0.35</v>
      </c>
      <c r="M445" s="9">
        <v>-1.38</v>
      </c>
      <c r="N445" t="s">
        <v>15</v>
      </c>
      <c r="Q445" s="9">
        <v>10.5</v>
      </c>
      <c r="R445" t="s">
        <v>100</v>
      </c>
      <c r="S445" s="7">
        <v>29</v>
      </c>
      <c r="V445" s="10" t="s">
        <v>1189</v>
      </c>
      <c r="X445" s="10" t="s">
        <v>1190</v>
      </c>
      <c r="Y445" s="10" t="s">
        <v>1191</v>
      </c>
      <c r="Z445" t="s">
        <v>56</v>
      </c>
    </row>
    <row r="446" spans="1:26">
      <c r="A446">
        <v>43</v>
      </c>
      <c r="B446" t="s">
        <v>1140</v>
      </c>
      <c r="C446" t="s">
        <v>1141</v>
      </c>
      <c r="D446" t="s">
        <v>1142</v>
      </c>
      <c r="E446" t="s">
        <v>998</v>
      </c>
      <c r="F446" t="s">
        <v>1143</v>
      </c>
      <c r="G446" t="s">
        <v>124</v>
      </c>
      <c r="H446" t="s">
        <v>10</v>
      </c>
      <c r="I446">
        <v>0</v>
      </c>
      <c r="J446" t="s">
        <v>224</v>
      </c>
      <c r="K446" s="9">
        <v>12.43</v>
      </c>
      <c r="L446" s="9">
        <v>2.89</v>
      </c>
      <c r="M446" s="9">
        <v>1.92</v>
      </c>
      <c r="N446" t="s">
        <v>15</v>
      </c>
      <c r="Q446" s="9">
        <v>11.8</v>
      </c>
      <c r="R446" t="s">
        <v>59</v>
      </c>
      <c r="S446" s="7">
        <v>39</v>
      </c>
      <c r="V446" s="10" t="s">
        <v>1192</v>
      </c>
      <c r="X446" s="10" t="s">
        <v>1193</v>
      </c>
      <c r="Y446" s="10" t="s">
        <v>1194</v>
      </c>
      <c r="Z446" t="s">
        <v>56</v>
      </c>
    </row>
    <row r="447" spans="1:26">
      <c r="A447">
        <v>44</v>
      </c>
      <c r="B447" t="s">
        <v>1140</v>
      </c>
      <c r="C447" t="s">
        <v>1141</v>
      </c>
      <c r="D447" t="s">
        <v>1142</v>
      </c>
      <c r="E447" t="s">
        <v>998</v>
      </c>
      <c r="F447" t="s">
        <v>1143</v>
      </c>
      <c r="G447" t="s">
        <v>128</v>
      </c>
      <c r="H447" t="s">
        <v>10</v>
      </c>
      <c r="I447">
        <v>0</v>
      </c>
      <c r="J447" t="s">
        <v>1195</v>
      </c>
      <c r="K447" s="9">
        <v>16.42</v>
      </c>
      <c r="L447" s="9">
        <v>5.47</v>
      </c>
      <c r="M447" s="9">
        <v>4.12</v>
      </c>
      <c r="N447" t="s">
        <v>15</v>
      </c>
      <c r="Q447" s="9">
        <v>15.5</v>
      </c>
      <c r="R447" t="s">
        <v>59</v>
      </c>
      <c r="S447" s="7">
        <v>47</v>
      </c>
      <c r="V447" s="10" t="s">
        <v>1196</v>
      </c>
      <c r="X447" s="10" t="s">
        <v>1197</v>
      </c>
      <c r="Y447" s="10" t="s">
        <v>1198</v>
      </c>
      <c r="Z447" t="s">
        <v>56</v>
      </c>
    </row>
    <row r="448" spans="1:26">
      <c r="A448">
        <v>45</v>
      </c>
      <c r="B448" t="s">
        <v>1140</v>
      </c>
      <c r="C448" t="s">
        <v>1141</v>
      </c>
      <c r="D448" t="s">
        <v>1142</v>
      </c>
      <c r="E448" t="s">
        <v>998</v>
      </c>
      <c r="F448" t="s">
        <v>1143</v>
      </c>
      <c r="G448" t="s">
        <v>133</v>
      </c>
      <c r="H448" t="s">
        <v>10</v>
      </c>
      <c r="I448">
        <v>0</v>
      </c>
      <c r="J448" t="s">
        <v>1199</v>
      </c>
      <c r="K448" s="9">
        <v>17.57</v>
      </c>
      <c r="L448" s="9">
        <v>7.03</v>
      </c>
      <c r="M448" s="9">
        <v>5.75</v>
      </c>
      <c r="N448" t="s">
        <v>15</v>
      </c>
      <c r="Q448" s="9">
        <v>16.8</v>
      </c>
      <c r="R448" t="s">
        <v>59</v>
      </c>
      <c r="S448" s="7">
        <v>50.5</v>
      </c>
      <c r="V448" s="10" t="s">
        <v>1200</v>
      </c>
      <c r="X448" s="10" t="s">
        <v>1201</v>
      </c>
      <c r="Y448" s="10" t="s">
        <v>1202</v>
      </c>
      <c r="Z448" t="s">
        <v>56</v>
      </c>
    </row>
    <row r="449" spans="1:26">
      <c r="A449">
        <v>46</v>
      </c>
      <c r="B449" t="s">
        <v>1140</v>
      </c>
      <c r="C449" t="s">
        <v>1141</v>
      </c>
      <c r="D449" t="s">
        <v>1142</v>
      </c>
      <c r="E449" t="s">
        <v>998</v>
      </c>
      <c r="F449" t="s">
        <v>1143</v>
      </c>
      <c r="G449" t="s">
        <v>137</v>
      </c>
      <c r="H449" t="s">
        <v>10</v>
      </c>
      <c r="I449">
        <v>0</v>
      </c>
      <c r="J449" t="s">
        <v>1203</v>
      </c>
      <c r="K449" s="9">
        <v>19.77</v>
      </c>
      <c r="L449" s="9">
        <v>8.08</v>
      </c>
      <c r="M449" s="9">
        <v>6.18</v>
      </c>
      <c r="N449" t="s">
        <v>15</v>
      </c>
      <c r="Q449" s="9">
        <v>18.8</v>
      </c>
      <c r="R449" t="s">
        <v>59</v>
      </c>
      <c r="S449" s="7">
        <v>52</v>
      </c>
      <c r="V449" s="10" t="s">
        <v>1204</v>
      </c>
      <c r="X449" s="10" t="s">
        <v>1205</v>
      </c>
      <c r="Y449" s="10" t="s">
        <v>1206</v>
      </c>
      <c r="Z449" t="s">
        <v>56</v>
      </c>
    </row>
    <row r="450" spans="1:26">
      <c r="A450">
        <v>47</v>
      </c>
      <c r="B450" t="s">
        <v>1140</v>
      </c>
      <c r="C450" t="s">
        <v>1141</v>
      </c>
      <c r="D450" t="s">
        <v>1142</v>
      </c>
      <c r="E450" t="s">
        <v>998</v>
      </c>
      <c r="F450" t="s">
        <v>1143</v>
      </c>
      <c r="G450" t="s">
        <v>141</v>
      </c>
      <c r="H450" t="s">
        <v>10</v>
      </c>
      <c r="I450">
        <v>0</v>
      </c>
      <c r="J450" t="s">
        <v>239</v>
      </c>
      <c r="K450" s="9">
        <v>20.53</v>
      </c>
      <c r="L450" s="9">
        <v>8.5</v>
      </c>
      <c r="M450" s="9">
        <v>6.8</v>
      </c>
      <c r="N450" t="s">
        <v>15</v>
      </c>
      <c r="Q450" s="9">
        <v>19.8</v>
      </c>
      <c r="R450" t="s">
        <v>59</v>
      </c>
      <c r="S450" s="7">
        <v>53</v>
      </c>
      <c r="V450" s="10" t="s">
        <v>1207</v>
      </c>
      <c r="X450" s="10" t="s">
        <v>1208</v>
      </c>
      <c r="Y450" s="10" t="s">
        <v>1209</v>
      </c>
      <c r="Z450" t="s">
        <v>56</v>
      </c>
    </row>
    <row r="451" spans="1:26">
      <c r="A451">
        <v>48</v>
      </c>
      <c r="B451" t="s">
        <v>1140</v>
      </c>
      <c r="C451" t="s">
        <v>1141</v>
      </c>
      <c r="D451" t="s">
        <v>1142</v>
      </c>
      <c r="E451" t="s">
        <v>998</v>
      </c>
      <c r="F451" t="s">
        <v>1143</v>
      </c>
      <c r="G451" t="s">
        <v>146</v>
      </c>
      <c r="H451" t="s">
        <v>10</v>
      </c>
      <c r="I451">
        <v>0</v>
      </c>
      <c r="J451" t="s">
        <v>619</v>
      </c>
      <c r="K451" s="9">
        <v>22.1</v>
      </c>
      <c r="L451" s="9">
        <v>9.300000000000001</v>
      </c>
      <c r="M451" s="9">
        <v>7.4</v>
      </c>
      <c r="N451" t="s">
        <v>15</v>
      </c>
      <c r="Q451" s="9">
        <v>21</v>
      </c>
      <c r="R451" t="s">
        <v>59</v>
      </c>
      <c r="S451" s="7">
        <v>53.5</v>
      </c>
      <c r="V451" s="10" t="s">
        <v>1210</v>
      </c>
      <c r="X451" s="10" t="s">
        <v>1211</v>
      </c>
      <c r="Y451" s="10" t="s">
        <v>1212</v>
      </c>
      <c r="Z451" t="s">
        <v>56</v>
      </c>
    </row>
    <row r="452" spans="1:26">
      <c r="A452">
        <v>49</v>
      </c>
      <c r="B452" t="s">
        <v>1140</v>
      </c>
      <c r="C452" t="s">
        <v>1141</v>
      </c>
      <c r="D452" t="s">
        <v>1142</v>
      </c>
      <c r="E452" t="s">
        <v>998</v>
      </c>
      <c r="F452" t="s">
        <v>1143</v>
      </c>
      <c r="G452" t="s">
        <v>150</v>
      </c>
      <c r="H452" t="s">
        <v>10</v>
      </c>
      <c r="I452">
        <v>0</v>
      </c>
      <c r="J452" t="s">
        <v>891</v>
      </c>
      <c r="K452" s="9">
        <v>25.5</v>
      </c>
      <c r="L452" s="9">
        <v>11</v>
      </c>
      <c r="M452" s="9">
        <v>8.800000000000001</v>
      </c>
      <c r="N452" t="s">
        <v>15</v>
      </c>
      <c r="Q452" s="9">
        <v>24.5</v>
      </c>
      <c r="R452" t="s">
        <v>59</v>
      </c>
      <c r="S452" s="7">
        <v>55</v>
      </c>
      <c r="V452" s="10" t="s">
        <v>1213</v>
      </c>
      <c r="X452" s="10" t="s">
        <v>1214</v>
      </c>
      <c r="Y452" s="10" t="s">
        <v>1215</v>
      </c>
      <c r="Z452" t="s">
        <v>56</v>
      </c>
    </row>
    <row r="453" spans="1:26">
      <c r="A453">
        <v>50</v>
      </c>
      <c r="B453" t="s">
        <v>1140</v>
      </c>
      <c r="C453" t="s">
        <v>1141</v>
      </c>
      <c r="D453" t="s">
        <v>1142</v>
      </c>
      <c r="E453" t="s">
        <v>998</v>
      </c>
      <c r="F453" t="s">
        <v>1143</v>
      </c>
      <c r="G453" t="s">
        <v>155</v>
      </c>
      <c r="H453" t="s">
        <v>10</v>
      </c>
      <c r="I453">
        <v>0</v>
      </c>
      <c r="J453" t="s">
        <v>625</v>
      </c>
      <c r="K453" s="9">
        <v>27.8</v>
      </c>
      <c r="L453" s="9">
        <v>12.2</v>
      </c>
      <c r="M453" s="9">
        <v>9.800000000000001</v>
      </c>
      <c r="N453" t="s">
        <v>15</v>
      </c>
      <c r="Q453" s="9">
        <v>26.8</v>
      </c>
      <c r="R453" t="s">
        <v>59</v>
      </c>
      <c r="S453" s="7">
        <v>55.5</v>
      </c>
      <c r="V453" s="10" t="s">
        <v>1216</v>
      </c>
      <c r="X453" s="10" t="s">
        <v>1217</v>
      </c>
      <c r="Y453" s="10" t="s">
        <v>1218</v>
      </c>
      <c r="Z453" t="s">
        <v>56</v>
      </c>
    </row>
    <row r="454" spans="1:26">
      <c r="A454">
        <v>51</v>
      </c>
      <c r="B454" t="s">
        <v>1140</v>
      </c>
      <c r="C454" t="s">
        <v>1141</v>
      </c>
      <c r="D454" t="s">
        <v>1142</v>
      </c>
      <c r="E454" t="s">
        <v>998</v>
      </c>
      <c r="F454" t="s">
        <v>1143</v>
      </c>
      <c r="G454" t="s">
        <v>159</v>
      </c>
      <c r="H454" t="s">
        <v>11</v>
      </c>
      <c r="I454">
        <v>1</v>
      </c>
      <c r="K454" s="9">
        <v>29.5</v>
      </c>
      <c r="L454" s="9">
        <v>13</v>
      </c>
      <c r="M454" s="9">
        <v>10.4</v>
      </c>
      <c r="N454" t="s">
        <v>15</v>
      </c>
      <c r="Q454" s="9">
        <v>28.5</v>
      </c>
      <c r="S454" s="7">
        <v>56</v>
      </c>
      <c r="V454" s="10" t="s">
        <v>1219</v>
      </c>
      <c r="X454" s="10" t="s">
        <v>1220</v>
      </c>
      <c r="Y454" s="10" t="s">
        <v>1137</v>
      </c>
      <c r="Z454" t="s">
        <v>56</v>
      </c>
    </row>
    <row r="455" spans="1:26">
      <c r="A455">
        <v>52</v>
      </c>
      <c r="B455" t="s">
        <v>1140</v>
      </c>
      <c r="C455" t="s">
        <v>1141</v>
      </c>
      <c r="D455" t="s">
        <v>1142</v>
      </c>
      <c r="E455" t="s">
        <v>998</v>
      </c>
      <c r="F455" t="s">
        <v>1143</v>
      </c>
      <c r="G455" t="s">
        <v>163</v>
      </c>
      <c r="H455" t="s">
        <v>11</v>
      </c>
      <c r="I455">
        <v>1</v>
      </c>
      <c r="K455" s="9">
        <v>31</v>
      </c>
      <c r="L455" s="9">
        <v>13.8</v>
      </c>
      <c r="M455" s="9">
        <v>11</v>
      </c>
      <c r="N455" t="s">
        <v>15</v>
      </c>
      <c r="Q455" s="9">
        <v>30</v>
      </c>
      <c r="S455" s="7">
        <v>56.5</v>
      </c>
      <c r="V455" s="10" t="s">
        <v>1221</v>
      </c>
      <c r="X455" s="10" t="s">
        <v>1222</v>
      </c>
      <c r="Y455" s="10" t="s">
        <v>1137</v>
      </c>
      <c r="Z455" t="s">
        <v>56</v>
      </c>
    </row>
    <row r="456" spans="1:26">
      <c r="A456">
        <v>628</v>
      </c>
      <c r="B456" t="s">
        <v>1223</v>
      </c>
      <c r="C456" t="s">
        <v>1224</v>
      </c>
      <c r="D456" t="s">
        <v>1225</v>
      </c>
      <c r="E456" t="s">
        <v>998</v>
      </c>
      <c r="F456" t="s">
        <v>1223</v>
      </c>
      <c r="G456" t="s">
        <v>50</v>
      </c>
      <c r="H456" t="s">
        <v>10</v>
      </c>
      <c r="I456">
        <v>0</v>
      </c>
      <c r="J456" t="s">
        <v>1226</v>
      </c>
      <c r="K456" s="9">
        <v>3.922</v>
      </c>
      <c r="L456" s="9">
        <v>0.07000000000000001</v>
      </c>
      <c r="M456" s="9">
        <v>-0.06</v>
      </c>
      <c r="N456" t="s">
        <v>14</v>
      </c>
      <c r="O456" s="9">
        <v>-0.2</v>
      </c>
      <c r="S456" s="7">
        <v>23.05</v>
      </c>
      <c r="T456" s="7">
        <v>1.78</v>
      </c>
      <c r="X456" s="10" t="s">
        <v>428</v>
      </c>
      <c r="Y456" s="11" t="s">
        <v>1227</v>
      </c>
      <c r="Z456" t="s">
        <v>430</v>
      </c>
    </row>
    <row r="457" spans="1:26">
      <c r="A457">
        <v>629</v>
      </c>
      <c r="B457" t="s">
        <v>1223</v>
      </c>
      <c r="C457" t="s">
        <v>1224</v>
      </c>
      <c r="D457" t="s">
        <v>1225</v>
      </c>
      <c r="E457" t="s">
        <v>998</v>
      </c>
      <c r="F457" t="s">
        <v>1223</v>
      </c>
      <c r="G457" t="s">
        <v>57</v>
      </c>
      <c r="H457" t="s">
        <v>10</v>
      </c>
      <c r="I457">
        <v>0</v>
      </c>
      <c r="J457" t="s">
        <v>1228</v>
      </c>
      <c r="K457" s="9">
        <v>4.234</v>
      </c>
      <c r="L457" s="9">
        <v>0.05</v>
      </c>
      <c r="M457" s="9">
        <v>-0.06</v>
      </c>
      <c r="N457" t="s">
        <v>14</v>
      </c>
      <c r="O457" s="9">
        <v>-0.47</v>
      </c>
      <c r="S457" s="7">
        <v>22.08</v>
      </c>
      <c r="T457" s="7">
        <v>1.18</v>
      </c>
      <c r="X457" s="10" t="s">
        <v>428</v>
      </c>
      <c r="Y457" s="11" t="s">
        <v>1229</v>
      </c>
      <c r="Z457" t="s">
        <v>430</v>
      </c>
    </row>
    <row r="458" spans="1:26">
      <c r="A458">
        <v>630</v>
      </c>
      <c r="B458" t="s">
        <v>1223</v>
      </c>
      <c r="C458" t="s">
        <v>1224</v>
      </c>
      <c r="D458" t="s">
        <v>1225</v>
      </c>
      <c r="E458" t="s">
        <v>998</v>
      </c>
      <c r="F458" t="s">
        <v>1223</v>
      </c>
      <c r="G458" t="s">
        <v>62</v>
      </c>
      <c r="H458" t="s">
        <v>10</v>
      </c>
      <c r="I458">
        <v>0</v>
      </c>
      <c r="J458" t="s">
        <v>1230</v>
      </c>
      <c r="K458" s="9">
        <v>4.175</v>
      </c>
      <c r="L458" s="9">
        <v>0.153</v>
      </c>
      <c r="M458" s="9">
        <v>-0.06</v>
      </c>
      <c r="N458" t="s">
        <v>14</v>
      </c>
      <c r="O458" s="9">
        <v>0.06</v>
      </c>
      <c r="S458" s="7">
        <v>24.07</v>
      </c>
      <c r="T458" s="7">
        <v>3.66</v>
      </c>
      <c r="X458" s="10" t="s">
        <v>428</v>
      </c>
      <c r="Y458" s="11" t="s">
        <v>1231</v>
      </c>
      <c r="Z458" t="s">
        <v>430</v>
      </c>
    </row>
    <row r="459" spans="1:26">
      <c r="A459">
        <v>631</v>
      </c>
      <c r="B459" t="s">
        <v>1223</v>
      </c>
      <c r="C459" t="s">
        <v>1224</v>
      </c>
      <c r="D459" t="s">
        <v>1225</v>
      </c>
      <c r="E459" t="s">
        <v>998</v>
      </c>
      <c r="F459" t="s">
        <v>1223</v>
      </c>
      <c r="G459" t="s">
        <v>66</v>
      </c>
      <c r="H459" t="s">
        <v>10</v>
      </c>
      <c r="I459">
        <v>0</v>
      </c>
      <c r="J459" t="s">
        <v>781</v>
      </c>
      <c r="K459" s="9">
        <v>4.287</v>
      </c>
      <c r="L459" s="9">
        <v>0.261</v>
      </c>
      <c r="M459" s="9">
        <v>0.148</v>
      </c>
      <c r="N459" t="s">
        <v>14</v>
      </c>
      <c r="S459" s="7">
        <v>25.26</v>
      </c>
      <c r="T459" s="7">
        <v>6.09</v>
      </c>
      <c r="X459" s="10" t="s">
        <v>483</v>
      </c>
      <c r="Y459" s="11" t="s">
        <v>1232</v>
      </c>
      <c r="Z459" t="s">
        <v>430</v>
      </c>
    </row>
    <row r="460" spans="1:26">
      <c r="A460">
        <v>632</v>
      </c>
      <c r="B460" t="s">
        <v>1223</v>
      </c>
      <c r="C460" t="s">
        <v>1224</v>
      </c>
      <c r="D460" t="s">
        <v>1225</v>
      </c>
      <c r="E460" t="s">
        <v>998</v>
      </c>
      <c r="F460" t="s">
        <v>1223</v>
      </c>
      <c r="G460" t="s">
        <v>71</v>
      </c>
      <c r="H460" t="s">
        <v>10</v>
      </c>
      <c r="I460">
        <v>0</v>
      </c>
      <c r="J460" t="s">
        <v>489</v>
      </c>
      <c r="K460" s="9">
        <v>5.051</v>
      </c>
      <c r="L460" s="9">
        <v>0.778</v>
      </c>
      <c r="M460" s="9">
        <v>0.61</v>
      </c>
      <c r="N460" t="s">
        <v>14</v>
      </c>
      <c r="O460" s="9">
        <v>1.93</v>
      </c>
      <c r="S460" s="7">
        <v>32.96</v>
      </c>
      <c r="T460" s="7">
        <v>15.4</v>
      </c>
      <c r="X460" s="10" t="s">
        <v>428</v>
      </c>
      <c r="Y460" s="11" t="s">
        <v>1233</v>
      </c>
      <c r="Z460" t="s">
        <v>430</v>
      </c>
    </row>
    <row r="461" spans="1:26">
      <c r="A461">
        <v>633</v>
      </c>
      <c r="B461" t="s">
        <v>1223</v>
      </c>
      <c r="C461" t="s">
        <v>1224</v>
      </c>
      <c r="D461" t="s">
        <v>1225</v>
      </c>
      <c r="E461" t="s">
        <v>998</v>
      </c>
      <c r="F461" t="s">
        <v>1223</v>
      </c>
      <c r="G461" t="s">
        <v>75</v>
      </c>
      <c r="H461" t="s">
        <v>10</v>
      </c>
      <c r="I461">
        <v>0</v>
      </c>
      <c r="J461" t="s">
        <v>1234</v>
      </c>
      <c r="K461" s="9">
        <v>4.833</v>
      </c>
      <c r="L461" s="9">
        <v>0.727</v>
      </c>
      <c r="M461" s="9">
        <v>0.5639999999999999</v>
      </c>
      <c r="N461" t="s">
        <v>14</v>
      </c>
      <c r="O461" s="9">
        <v>1.79</v>
      </c>
      <c r="S461" s="7">
        <v>32.75</v>
      </c>
      <c r="T461" s="7">
        <v>15.04</v>
      </c>
      <c r="X461" s="10" t="s">
        <v>428</v>
      </c>
      <c r="Y461" s="11" t="s">
        <v>1235</v>
      </c>
      <c r="Z461" t="s">
        <v>430</v>
      </c>
    </row>
    <row r="462" spans="1:26">
      <c r="A462">
        <v>634</v>
      </c>
      <c r="B462" t="s">
        <v>1223</v>
      </c>
      <c r="C462" t="s">
        <v>1224</v>
      </c>
      <c r="D462" t="s">
        <v>1225</v>
      </c>
      <c r="E462" t="s">
        <v>998</v>
      </c>
      <c r="F462" t="s">
        <v>1223</v>
      </c>
      <c r="G462" t="s">
        <v>80</v>
      </c>
      <c r="H462" t="s">
        <v>10</v>
      </c>
      <c r="I462">
        <v>0</v>
      </c>
      <c r="J462" t="s">
        <v>485</v>
      </c>
      <c r="K462" s="9">
        <v>4.137</v>
      </c>
      <c r="L462" s="9">
        <v>0.317</v>
      </c>
      <c r="M462" s="9">
        <v>0.5639999999999999</v>
      </c>
      <c r="N462" t="s">
        <v>14</v>
      </c>
      <c r="O462" s="9">
        <v>0.63</v>
      </c>
      <c r="S462" s="7">
        <v>26.37</v>
      </c>
      <c r="T462" s="7">
        <v>7.66</v>
      </c>
      <c r="X462" s="10" t="s">
        <v>428</v>
      </c>
      <c r="Y462" s="11" t="s">
        <v>1236</v>
      </c>
      <c r="Z462" t="s">
        <v>430</v>
      </c>
    </row>
    <row r="463" spans="1:26">
      <c r="A463">
        <v>635</v>
      </c>
      <c r="B463" t="s">
        <v>1223</v>
      </c>
      <c r="C463" t="s">
        <v>1224</v>
      </c>
      <c r="D463" t="s">
        <v>1225</v>
      </c>
      <c r="E463" t="s">
        <v>998</v>
      </c>
      <c r="F463" t="s">
        <v>1223</v>
      </c>
      <c r="G463" t="s">
        <v>85</v>
      </c>
      <c r="H463" t="s">
        <v>10</v>
      </c>
      <c r="I463">
        <v>0</v>
      </c>
      <c r="J463" t="s">
        <v>1237</v>
      </c>
      <c r="K463" s="9">
        <v>4.92</v>
      </c>
      <c r="L463" s="9">
        <v>0.675</v>
      </c>
      <c r="M463" s="9">
        <v>0.622</v>
      </c>
      <c r="N463" t="s">
        <v>14</v>
      </c>
      <c r="S463" s="7">
        <v>31.83</v>
      </c>
      <c r="T463" s="7">
        <v>13.72</v>
      </c>
      <c r="X463" s="10" t="s">
        <v>483</v>
      </c>
      <c r="Y463" s="11" t="s">
        <v>1238</v>
      </c>
      <c r="Z463" t="s">
        <v>430</v>
      </c>
    </row>
    <row r="464" spans="1:26">
      <c r="A464">
        <v>636</v>
      </c>
      <c r="B464" t="s">
        <v>1223</v>
      </c>
      <c r="C464" t="s">
        <v>1224</v>
      </c>
      <c r="D464" t="s">
        <v>1225</v>
      </c>
      <c r="E464" t="s">
        <v>998</v>
      </c>
      <c r="F464" t="s">
        <v>1223</v>
      </c>
      <c r="G464" t="s">
        <v>89</v>
      </c>
      <c r="H464" t="s">
        <v>10</v>
      </c>
      <c r="I464">
        <v>0</v>
      </c>
      <c r="J464" t="s">
        <v>1239</v>
      </c>
      <c r="K464" s="9">
        <v>3.736</v>
      </c>
      <c r="L464" s="9">
        <v>0.158</v>
      </c>
      <c r="M464" s="9">
        <v>0.027</v>
      </c>
      <c r="N464" t="s">
        <v>14</v>
      </c>
      <c r="O464" s="9">
        <v>0.08</v>
      </c>
      <c r="S464" s="7">
        <v>26.26</v>
      </c>
      <c r="T464" s="7">
        <v>4.23</v>
      </c>
      <c r="X464" s="10" t="s">
        <v>428</v>
      </c>
      <c r="Y464" s="11" t="s">
        <v>1240</v>
      </c>
      <c r="Z464" t="s">
        <v>430</v>
      </c>
    </row>
    <row r="465" spans="1:26">
      <c r="A465">
        <v>637</v>
      </c>
      <c r="B465" t="s">
        <v>1223</v>
      </c>
      <c r="C465" t="s">
        <v>1224</v>
      </c>
      <c r="D465" t="s">
        <v>1225</v>
      </c>
      <c r="E465" t="s">
        <v>998</v>
      </c>
      <c r="F465" t="s">
        <v>1223</v>
      </c>
      <c r="G465" t="s">
        <v>93</v>
      </c>
      <c r="H465" t="s">
        <v>10</v>
      </c>
      <c r="I465">
        <v>0</v>
      </c>
      <c r="J465" t="s">
        <v>1241</v>
      </c>
      <c r="K465" s="9">
        <v>3.107</v>
      </c>
      <c r="L465" s="9">
        <v>-0.321</v>
      </c>
      <c r="M465" s="9">
        <v>-0.451</v>
      </c>
      <c r="N465" t="s">
        <v>14</v>
      </c>
      <c r="O465" s="9">
        <v>-1.42</v>
      </c>
      <c r="S465" s="7">
        <v>16.99</v>
      </c>
      <c r="T465" s="7">
        <v>-10.33</v>
      </c>
      <c r="X465" s="10" t="s">
        <v>428</v>
      </c>
      <c r="Y465" s="11" t="s">
        <v>1242</v>
      </c>
      <c r="Z465" t="s">
        <v>430</v>
      </c>
    </row>
    <row r="466" spans="1:26">
      <c r="A466">
        <v>638</v>
      </c>
      <c r="B466" t="s">
        <v>1223</v>
      </c>
      <c r="C466" t="s">
        <v>1224</v>
      </c>
      <c r="D466" t="s">
        <v>1225</v>
      </c>
      <c r="E466" t="s">
        <v>998</v>
      </c>
      <c r="F466" t="s">
        <v>1223</v>
      </c>
      <c r="G466" t="s">
        <v>98</v>
      </c>
      <c r="H466" t="s">
        <v>10</v>
      </c>
      <c r="I466">
        <v>0</v>
      </c>
      <c r="J466" t="s">
        <v>1243</v>
      </c>
      <c r="K466" s="9">
        <v>4.381</v>
      </c>
      <c r="L466" s="9">
        <v>0.324</v>
      </c>
      <c r="M466" s="9">
        <v>-0.451</v>
      </c>
      <c r="N466" t="s">
        <v>14</v>
      </c>
      <c r="O466" s="9">
        <v>0.08</v>
      </c>
      <c r="S466" s="7">
        <v>26.96</v>
      </c>
      <c r="T466" s="7">
        <v>7.4</v>
      </c>
      <c r="X466" s="10" t="s">
        <v>428</v>
      </c>
      <c r="Y466" s="11" t="s">
        <v>1244</v>
      </c>
      <c r="Z466" t="s">
        <v>430</v>
      </c>
    </row>
    <row r="467" spans="1:26">
      <c r="A467">
        <v>639</v>
      </c>
      <c r="B467" t="s">
        <v>1223</v>
      </c>
      <c r="C467" t="s">
        <v>1224</v>
      </c>
      <c r="D467" t="s">
        <v>1225</v>
      </c>
      <c r="E467" t="s">
        <v>998</v>
      </c>
      <c r="F467" t="s">
        <v>1223</v>
      </c>
      <c r="G467" t="s">
        <v>103</v>
      </c>
      <c r="H467" t="s">
        <v>10</v>
      </c>
      <c r="I467">
        <v>0</v>
      </c>
      <c r="J467" t="s">
        <v>1245</v>
      </c>
      <c r="K467" s="9">
        <v>4.528</v>
      </c>
      <c r="L467" s="9">
        <v>0.5620000000000001</v>
      </c>
      <c r="M467" s="9">
        <v>0.347</v>
      </c>
      <c r="N467" t="s">
        <v>14</v>
      </c>
      <c r="S467" s="7">
        <v>31.91</v>
      </c>
      <c r="T467" s="7">
        <v>12.41</v>
      </c>
      <c r="X467" s="10" t="s">
        <v>483</v>
      </c>
      <c r="Y467" s="11" t="s">
        <v>1246</v>
      </c>
      <c r="Z467" t="s">
        <v>430</v>
      </c>
    </row>
    <row r="468" spans="1:26">
      <c r="A468">
        <v>640</v>
      </c>
      <c r="B468" t="s">
        <v>1223</v>
      </c>
      <c r="C468" t="s">
        <v>1224</v>
      </c>
      <c r="D468" t="s">
        <v>1225</v>
      </c>
      <c r="E468" t="s">
        <v>998</v>
      </c>
      <c r="F468" t="s">
        <v>1223</v>
      </c>
      <c r="G468" t="s">
        <v>107</v>
      </c>
      <c r="H468" t="s">
        <v>10</v>
      </c>
      <c r="I468">
        <v>0</v>
      </c>
      <c r="J468" t="s">
        <v>134</v>
      </c>
      <c r="K468" s="9">
        <v>2.75</v>
      </c>
      <c r="L468" s="9">
        <v>-0.596</v>
      </c>
      <c r="M468" s="9">
        <v>-0.6850000000000001</v>
      </c>
      <c r="N468" t="s">
        <v>14</v>
      </c>
      <c r="O468" s="9">
        <v>-2.17</v>
      </c>
      <c r="S468" s="7">
        <v>3.6</v>
      </c>
      <c r="T468" s="7">
        <v>-21.67</v>
      </c>
      <c r="X468" s="10" t="s">
        <v>428</v>
      </c>
      <c r="Y468" s="11" t="s">
        <v>1247</v>
      </c>
      <c r="Z468" t="s">
        <v>430</v>
      </c>
    </row>
    <row r="469" spans="1:26">
      <c r="A469">
        <v>641</v>
      </c>
      <c r="B469" t="s">
        <v>1223</v>
      </c>
      <c r="C469" t="s">
        <v>1224</v>
      </c>
      <c r="D469" t="s">
        <v>1225</v>
      </c>
      <c r="E469" t="s">
        <v>998</v>
      </c>
      <c r="F469" t="s">
        <v>1223</v>
      </c>
      <c r="G469" t="s">
        <v>112</v>
      </c>
      <c r="H469" t="s">
        <v>10</v>
      </c>
      <c r="I469">
        <v>0</v>
      </c>
      <c r="J469" t="s">
        <v>607</v>
      </c>
      <c r="K469" s="9">
        <v>3.032</v>
      </c>
      <c r="L469" s="9">
        <v>-0.21</v>
      </c>
      <c r="M469" s="9">
        <v>-0.287</v>
      </c>
      <c r="N469" t="s">
        <v>14</v>
      </c>
      <c r="O469" s="9">
        <v>-0.93</v>
      </c>
      <c r="S469" s="7">
        <v>16.23</v>
      </c>
      <c r="T469" s="7">
        <v>-6.93</v>
      </c>
      <c r="X469" s="10" t="s">
        <v>428</v>
      </c>
      <c r="Y469" s="11" t="s">
        <v>1248</v>
      </c>
      <c r="Z469" t="s">
        <v>430</v>
      </c>
    </row>
    <row r="470" spans="1:26">
      <c r="A470">
        <v>642</v>
      </c>
      <c r="B470" t="s">
        <v>1223</v>
      </c>
      <c r="C470" t="s">
        <v>1224</v>
      </c>
      <c r="D470" t="s">
        <v>1225</v>
      </c>
      <c r="E470" t="s">
        <v>998</v>
      </c>
      <c r="F470" t="s">
        <v>1223</v>
      </c>
      <c r="G470" t="s">
        <v>116</v>
      </c>
      <c r="H470" t="s">
        <v>10</v>
      </c>
      <c r="I470">
        <v>0</v>
      </c>
      <c r="J470" t="s">
        <v>125</v>
      </c>
      <c r="K470" s="9">
        <v>2.803</v>
      </c>
      <c r="L470" s="9">
        <v>-0.472</v>
      </c>
      <c r="M470" s="9">
        <v>-0.287</v>
      </c>
      <c r="N470" t="s">
        <v>14</v>
      </c>
      <c r="O470" s="9">
        <v>-1.82</v>
      </c>
      <c r="S470" s="7">
        <v>10.2</v>
      </c>
      <c r="T470" s="7">
        <v>-16.84</v>
      </c>
      <c r="X470" s="10" t="s">
        <v>428</v>
      </c>
      <c r="Y470" s="11" t="s">
        <v>1249</v>
      </c>
      <c r="Z470" t="s">
        <v>430</v>
      </c>
    </row>
    <row r="471" spans="1:26">
      <c r="A471">
        <v>643</v>
      </c>
      <c r="B471" t="s">
        <v>1223</v>
      </c>
      <c r="C471" t="s">
        <v>1224</v>
      </c>
      <c r="D471" t="s">
        <v>1225</v>
      </c>
      <c r="E471" t="s">
        <v>998</v>
      </c>
      <c r="F471" t="s">
        <v>1223</v>
      </c>
      <c r="G471" t="s">
        <v>124</v>
      </c>
      <c r="H471" t="s">
        <v>10</v>
      </c>
      <c r="I471">
        <v>0</v>
      </c>
      <c r="J471" t="s">
        <v>846</v>
      </c>
      <c r="K471" s="9">
        <v>2.212</v>
      </c>
      <c r="L471" s="9">
        <v>0.334</v>
      </c>
      <c r="M471" s="9">
        <v>0.493</v>
      </c>
      <c r="N471" t="s">
        <v>14</v>
      </c>
      <c r="O471" s="9">
        <v>1.35</v>
      </c>
      <c r="S471" s="7">
        <v>36.44</v>
      </c>
      <c r="T471" s="7">
        <v>15.1</v>
      </c>
      <c r="X471" s="10" t="s">
        <v>428</v>
      </c>
      <c r="Y471" s="11" t="s">
        <v>1250</v>
      </c>
      <c r="Z471" t="s">
        <v>430</v>
      </c>
    </row>
    <row r="472" spans="1:26">
      <c r="A472">
        <v>644</v>
      </c>
      <c r="B472" t="s">
        <v>1223</v>
      </c>
      <c r="C472" t="s">
        <v>1224</v>
      </c>
      <c r="D472" t="s">
        <v>1225</v>
      </c>
      <c r="E472" t="s">
        <v>998</v>
      </c>
      <c r="F472" t="s">
        <v>1223</v>
      </c>
      <c r="G472" t="s">
        <v>128</v>
      </c>
      <c r="H472" t="s">
        <v>10</v>
      </c>
      <c r="I472">
        <v>0</v>
      </c>
      <c r="J472" t="s">
        <v>848</v>
      </c>
      <c r="K472" s="9">
        <v>2.409</v>
      </c>
      <c r="L472" s="9">
        <v>0.5600000000000001</v>
      </c>
      <c r="M472" s="9">
        <v>0.594</v>
      </c>
      <c r="N472" t="s">
        <v>14</v>
      </c>
      <c r="O472" s="9">
        <v>1.63</v>
      </c>
      <c r="S472" s="7">
        <v>37.65</v>
      </c>
      <c r="T472" s="7">
        <v>23.25</v>
      </c>
      <c r="X472" s="10" t="s">
        <v>428</v>
      </c>
      <c r="Y472" s="11" t="s">
        <v>1251</v>
      </c>
      <c r="Z472" t="s">
        <v>430</v>
      </c>
    </row>
    <row r="473" spans="1:26">
      <c r="A473">
        <v>645</v>
      </c>
      <c r="B473" t="s">
        <v>1223</v>
      </c>
      <c r="C473" t="s">
        <v>1224</v>
      </c>
      <c r="D473" t="s">
        <v>1225</v>
      </c>
      <c r="E473" t="s">
        <v>998</v>
      </c>
      <c r="F473" t="s">
        <v>1223</v>
      </c>
      <c r="G473" t="s">
        <v>133</v>
      </c>
      <c r="H473" t="s">
        <v>10</v>
      </c>
      <c r="I473">
        <v>0</v>
      </c>
      <c r="J473" t="s">
        <v>1252</v>
      </c>
      <c r="K473" s="9">
        <v>1.752</v>
      </c>
      <c r="L473" s="9">
        <v>0.094</v>
      </c>
      <c r="M473" s="9">
        <v>0.594</v>
      </c>
      <c r="N473" t="s">
        <v>14</v>
      </c>
      <c r="O473" s="9">
        <v>0.34</v>
      </c>
      <c r="S473" s="7">
        <v>29.62</v>
      </c>
      <c r="T473" s="7">
        <v>5.37</v>
      </c>
      <c r="X473" s="10" t="s">
        <v>428</v>
      </c>
      <c r="Y473" s="11" t="s">
        <v>1253</v>
      </c>
      <c r="Z473" t="s">
        <v>430</v>
      </c>
    </row>
    <row r="474" spans="1:26">
      <c r="A474">
        <v>646</v>
      </c>
      <c r="B474" t="s">
        <v>1223</v>
      </c>
      <c r="C474" t="s">
        <v>1224</v>
      </c>
      <c r="D474" t="s">
        <v>1225</v>
      </c>
      <c r="E474" t="s">
        <v>998</v>
      </c>
      <c r="F474" t="s">
        <v>1223</v>
      </c>
      <c r="G474" t="s">
        <v>141</v>
      </c>
      <c r="H474" t="s">
        <v>10</v>
      </c>
      <c r="I474">
        <v>0</v>
      </c>
      <c r="J474" t="s">
        <v>846</v>
      </c>
      <c r="K474" s="9">
        <v>2.818</v>
      </c>
      <c r="L474" s="9">
        <v>0.792</v>
      </c>
      <c r="M474" s="9">
        <v>1.182</v>
      </c>
      <c r="N474" t="s">
        <v>14</v>
      </c>
      <c r="O474" s="9">
        <v>3.07</v>
      </c>
      <c r="S474" s="7">
        <v>43.54</v>
      </c>
      <c r="T474" s="7">
        <v>28.11</v>
      </c>
      <c r="X474" s="10" t="s">
        <v>428</v>
      </c>
      <c r="Y474" s="11" t="s">
        <v>1250</v>
      </c>
      <c r="Z474" t="s">
        <v>430</v>
      </c>
    </row>
    <row r="475" spans="1:26">
      <c r="A475">
        <v>647</v>
      </c>
      <c r="B475" t="s">
        <v>1223</v>
      </c>
      <c r="C475" t="s">
        <v>1224</v>
      </c>
      <c r="D475" t="s">
        <v>1225</v>
      </c>
      <c r="E475" t="s">
        <v>998</v>
      </c>
      <c r="F475" t="s">
        <v>1223</v>
      </c>
      <c r="G475" t="s">
        <v>472</v>
      </c>
      <c r="H475" t="s">
        <v>10</v>
      </c>
      <c r="I475">
        <v>0</v>
      </c>
      <c r="J475" t="s">
        <v>1254</v>
      </c>
      <c r="K475" s="9">
        <v>2.294</v>
      </c>
      <c r="L475" s="9">
        <v>0.76</v>
      </c>
      <c r="M475" s="9">
        <v>1.182</v>
      </c>
      <c r="N475" t="s">
        <v>14</v>
      </c>
      <c r="O475" s="9">
        <v>1.42</v>
      </c>
      <c r="S475" s="7">
        <v>39.76</v>
      </c>
      <c r="T475" s="7">
        <v>33.13</v>
      </c>
      <c r="X475" s="10" t="s">
        <v>428</v>
      </c>
      <c r="Y475" s="11" t="s">
        <v>1255</v>
      </c>
      <c r="Z475" t="s">
        <v>430</v>
      </c>
    </row>
    <row r="476" spans="1:26">
      <c r="A476">
        <v>648</v>
      </c>
      <c r="B476" t="s">
        <v>1223</v>
      </c>
      <c r="C476" t="s">
        <v>1224</v>
      </c>
      <c r="D476" t="s">
        <v>1225</v>
      </c>
      <c r="E476" t="s">
        <v>998</v>
      </c>
      <c r="F476" t="s">
        <v>1223</v>
      </c>
      <c r="G476" t="s">
        <v>475</v>
      </c>
      <c r="H476" t="s">
        <v>10</v>
      </c>
      <c r="I476">
        <v>0</v>
      </c>
      <c r="J476" t="s">
        <v>1256</v>
      </c>
      <c r="K476" s="9">
        <v>2.605</v>
      </c>
      <c r="L476" s="9">
        <v>0.68</v>
      </c>
      <c r="M476" s="9">
        <v>0.282</v>
      </c>
      <c r="N476" t="s">
        <v>14</v>
      </c>
      <c r="S476" s="7">
        <v>40.96</v>
      </c>
      <c r="T476" s="7">
        <v>26.1</v>
      </c>
      <c r="X476" s="10" t="s">
        <v>483</v>
      </c>
      <c r="Y476" s="11" t="s">
        <v>1257</v>
      </c>
      <c r="Z476" t="s">
        <v>430</v>
      </c>
    </row>
    <row r="477" spans="1:26">
      <c r="A477">
        <v>649</v>
      </c>
      <c r="B477" t="s">
        <v>1223</v>
      </c>
      <c r="C477" t="s">
        <v>1224</v>
      </c>
      <c r="D477" t="s">
        <v>1225</v>
      </c>
      <c r="E477" t="s">
        <v>998</v>
      </c>
      <c r="F477" t="s">
        <v>1223</v>
      </c>
      <c r="G477" t="s">
        <v>155</v>
      </c>
      <c r="H477" t="s">
        <v>10</v>
      </c>
      <c r="I477">
        <v>0</v>
      </c>
      <c r="J477" t="s">
        <v>848</v>
      </c>
      <c r="K477" s="9">
        <v>3.017</v>
      </c>
      <c r="L477" s="9">
        <v>0.908</v>
      </c>
      <c r="M477" s="9">
        <v>1.842</v>
      </c>
      <c r="N477" t="s">
        <v>14</v>
      </c>
      <c r="O477" s="9">
        <v>4.73</v>
      </c>
      <c r="S477" s="7">
        <v>45.74</v>
      </c>
      <c r="T477" s="7">
        <v>30.1</v>
      </c>
      <c r="X477" s="10" t="s">
        <v>428</v>
      </c>
      <c r="Y477" s="11" t="s">
        <v>1251</v>
      </c>
      <c r="Z477" t="s">
        <v>430</v>
      </c>
    </row>
    <row r="478" spans="1:26">
      <c r="A478">
        <v>258</v>
      </c>
      <c r="B478" t="s">
        <v>1258</v>
      </c>
      <c r="C478" t="s">
        <v>1259</v>
      </c>
      <c r="D478" t="s">
        <v>1260</v>
      </c>
      <c r="E478" t="s">
        <v>1261</v>
      </c>
      <c r="F478" t="s">
        <v>1262</v>
      </c>
      <c r="G478" t="s">
        <v>50</v>
      </c>
      <c r="H478" t="s">
        <v>10</v>
      </c>
      <c r="I478">
        <v>0</v>
      </c>
      <c r="J478" t="s">
        <v>1230</v>
      </c>
      <c r="K478" s="9">
        <v>0.523029</v>
      </c>
      <c r="L478" s="9">
        <v>0.149662</v>
      </c>
      <c r="M478" s="9">
        <v>0.138431</v>
      </c>
      <c r="N478" t="s">
        <v>14</v>
      </c>
      <c r="O478" s="9">
        <v>1.73</v>
      </c>
      <c r="S478" s="7">
        <v>64.67</v>
      </c>
      <c r="T478" s="7">
        <v>28.61</v>
      </c>
      <c r="X478" s="10" t="s">
        <v>428</v>
      </c>
      <c r="Y478" s="11" t="s">
        <v>1263</v>
      </c>
      <c r="Z478" t="s">
        <v>522</v>
      </c>
    </row>
    <row r="479" spans="1:26">
      <c r="A479">
        <v>259</v>
      </c>
      <c r="B479" t="s">
        <v>1258</v>
      </c>
      <c r="C479" t="s">
        <v>1259</v>
      </c>
      <c r="D479" t="s">
        <v>1260</v>
      </c>
      <c r="E479" t="s">
        <v>1261</v>
      </c>
      <c r="F479" t="s">
        <v>1262</v>
      </c>
      <c r="G479" t="s">
        <v>57</v>
      </c>
      <c r="H479" t="s">
        <v>10</v>
      </c>
      <c r="I479">
        <v>0</v>
      </c>
      <c r="J479" t="s">
        <v>1264</v>
      </c>
      <c r="K479" s="9">
        <v>0.54057</v>
      </c>
      <c r="L479" s="9">
        <v>0.166989</v>
      </c>
      <c r="M479" s="9">
        <v>0.144793</v>
      </c>
      <c r="N479" t="s">
        <v>14</v>
      </c>
      <c r="O479" s="9">
        <v>1.83</v>
      </c>
      <c r="S479" s="7">
        <v>63.65</v>
      </c>
      <c r="T479" s="7">
        <v>30.89</v>
      </c>
      <c r="X479" s="10" t="s">
        <v>428</v>
      </c>
      <c r="Y479" s="11" t="s">
        <v>1265</v>
      </c>
      <c r="Z479" t="s">
        <v>522</v>
      </c>
    </row>
    <row r="480" spans="1:26">
      <c r="A480">
        <v>260</v>
      </c>
      <c r="B480" t="s">
        <v>1258</v>
      </c>
      <c r="C480" t="s">
        <v>1259</v>
      </c>
      <c r="D480" t="s">
        <v>1260</v>
      </c>
      <c r="E480" t="s">
        <v>1261</v>
      </c>
      <c r="F480" t="s">
        <v>1262</v>
      </c>
      <c r="G480" t="s">
        <v>62</v>
      </c>
      <c r="H480" t="s">
        <v>10</v>
      </c>
      <c r="I480">
        <v>0</v>
      </c>
      <c r="J480" t="s">
        <v>1266</v>
      </c>
      <c r="K480" s="9">
        <v>0.6054310000000001</v>
      </c>
      <c r="L480" s="9">
        <v>0.188395</v>
      </c>
      <c r="M480" s="9">
        <v>0.168375</v>
      </c>
      <c r="N480" t="s">
        <v>14</v>
      </c>
      <c r="O480" s="9">
        <v>2.12</v>
      </c>
      <c r="S480" s="7">
        <v>63.58</v>
      </c>
      <c r="T480" s="7">
        <v>31.12</v>
      </c>
      <c r="X480" s="10" t="s">
        <v>428</v>
      </c>
      <c r="Y480" s="11" t="s">
        <v>1267</v>
      </c>
      <c r="Z480" t="s">
        <v>522</v>
      </c>
    </row>
    <row r="481" spans="1:26">
      <c r="A481">
        <v>261</v>
      </c>
      <c r="B481" t="s">
        <v>1258</v>
      </c>
      <c r="C481" t="s">
        <v>1259</v>
      </c>
      <c r="D481" t="s">
        <v>1260</v>
      </c>
      <c r="E481" t="s">
        <v>1261</v>
      </c>
      <c r="F481" t="s">
        <v>1262</v>
      </c>
      <c r="G481" t="s">
        <v>66</v>
      </c>
      <c r="H481" t="s">
        <v>10</v>
      </c>
      <c r="I481">
        <v>0</v>
      </c>
      <c r="J481" t="s">
        <v>1268</v>
      </c>
      <c r="K481" s="9">
        <v>0.648482</v>
      </c>
      <c r="L481" s="9">
        <v>0.194638</v>
      </c>
      <c r="M481" s="9">
        <v>0.182958</v>
      </c>
      <c r="N481" t="s">
        <v>14</v>
      </c>
      <c r="S481" s="7">
        <v>63.93</v>
      </c>
      <c r="T481" s="7">
        <v>30.01</v>
      </c>
      <c r="X481" s="10" t="s">
        <v>483</v>
      </c>
      <c r="Y481" s="11" t="s">
        <v>1269</v>
      </c>
      <c r="Z481" t="s">
        <v>522</v>
      </c>
    </row>
    <row r="482" spans="1:26">
      <c r="A482">
        <v>262</v>
      </c>
      <c r="B482" t="s">
        <v>1258</v>
      </c>
      <c r="C482" t="s">
        <v>1259</v>
      </c>
      <c r="D482" t="s">
        <v>1260</v>
      </c>
      <c r="E482" t="s">
        <v>1261</v>
      </c>
      <c r="F482" t="s">
        <v>1262</v>
      </c>
      <c r="G482" t="s">
        <v>71</v>
      </c>
      <c r="H482" t="s">
        <v>10</v>
      </c>
      <c r="I482">
        <v>0</v>
      </c>
      <c r="J482" t="s">
        <v>1270</v>
      </c>
      <c r="K482" s="9">
        <v>0.667562</v>
      </c>
      <c r="L482" s="9">
        <v>0.206292</v>
      </c>
      <c r="M482" s="9">
        <v>0.180366</v>
      </c>
      <c r="N482" t="s">
        <v>14</v>
      </c>
      <c r="O482" s="9">
        <v>0.57</v>
      </c>
      <c r="S482" s="7">
        <v>63.71</v>
      </c>
      <c r="T482" s="7">
        <v>30.9</v>
      </c>
      <c r="X482" s="10" t="s">
        <v>428</v>
      </c>
      <c r="Y482" s="11" t="s">
        <v>1271</v>
      </c>
      <c r="Z482" t="s">
        <v>522</v>
      </c>
    </row>
    <row r="483" spans="1:26">
      <c r="A483">
        <v>263</v>
      </c>
      <c r="B483" t="s">
        <v>1258</v>
      </c>
      <c r="C483" t="s">
        <v>1259</v>
      </c>
      <c r="D483" t="s">
        <v>1260</v>
      </c>
      <c r="E483" t="s">
        <v>1261</v>
      </c>
      <c r="F483" t="s">
        <v>1262</v>
      </c>
      <c r="G483" t="s">
        <v>75</v>
      </c>
      <c r="H483" t="s">
        <v>10</v>
      </c>
      <c r="I483">
        <v>0</v>
      </c>
      <c r="J483" t="s">
        <v>1272</v>
      </c>
      <c r="K483" s="9">
        <v>0.707319</v>
      </c>
      <c r="L483" s="9">
        <v>0.219365</v>
      </c>
      <c r="M483" s="9">
        <v>0.196888</v>
      </c>
      <c r="N483" t="s">
        <v>14</v>
      </c>
      <c r="O483" s="9">
        <v>0.62</v>
      </c>
      <c r="S483" s="7">
        <v>64.20999999999999</v>
      </c>
      <c r="T483" s="7">
        <v>31.01</v>
      </c>
      <c r="X483" s="10" t="s">
        <v>428</v>
      </c>
      <c r="Y483" s="11" t="s">
        <v>1273</v>
      </c>
      <c r="Z483" t="s">
        <v>522</v>
      </c>
    </row>
    <row r="484" spans="1:26">
      <c r="A484">
        <v>264</v>
      </c>
      <c r="B484" t="s">
        <v>1258</v>
      </c>
      <c r="C484" t="s">
        <v>1259</v>
      </c>
      <c r="D484" t="s">
        <v>1260</v>
      </c>
      <c r="E484" t="s">
        <v>1261</v>
      </c>
      <c r="F484" t="s">
        <v>1262</v>
      </c>
      <c r="G484" t="s">
        <v>80</v>
      </c>
      <c r="H484" t="s">
        <v>10</v>
      </c>
      <c r="I484">
        <v>0</v>
      </c>
      <c r="J484" t="s">
        <v>1274</v>
      </c>
      <c r="K484" s="9">
        <v>0.7486969999999999</v>
      </c>
      <c r="L484" s="9">
        <v>0.233294</v>
      </c>
      <c r="M484" s="9">
        <v>0.224305</v>
      </c>
      <c r="N484" t="s">
        <v>14</v>
      </c>
      <c r="O484" s="9">
        <v>0.7</v>
      </c>
      <c r="S484" s="7">
        <v>63.93</v>
      </c>
      <c r="T484" s="7">
        <v>31.16</v>
      </c>
      <c r="X484" s="10" t="s">
        <v>428</v>
      </c>
      <c r="Y484" s="11" t="s">
        <v>1275</v>
      </c>
      <c r="Z484" t="s">
        <v>522</v>
      </c>
    </row>
    <row r="485" spans="1:26">
      <c r="A485">
        <v>265</v>
      </c>
      <c r="B485" t="s">
        <v>1258</v>
      </c>
      <c r="C485" t="s">
        <v>1259</v>
      </c>
      <c r="D485" t="s">
        <v>1260</v>
      </c>
      <c r="E485" t="s">
        <v>1261</v>
      </c>
      <c r="F485" t="s">
        <v>1262</v>
      </c>
      <c r="G485" t="s">
        <v>85</v>
      </c>
      <c r="H485" t="s">
        <v>10</v>
      </c>
      <c r="I485">
        <v>0</v>
      </c>
      <c r="J485" t="s">
        <v>1276</v>
      </c>
      <c r="K485" s="9">
        <v>0.8244590000000001</v>
      </c>
      <c r="L485" s="9">
        <v>0.265788</v>
      </c>
      <c r="M485" s="9">
        <v>0.239295</v>
      </c>
      <c r="N485" t="s">
        <v>14</v>
      </c>
      <c r="S485" s="7">
        <v>63.4</v>
      </c>
      <c r="T485" s="7">
        <v>32.24</v>
      </c>
      <c r="X485" s="10" t="s">
        <v>483</v>
      </c>
      <c r="Y485" s="11" t="s">
        <v>1277</v>
      </c>
      <c r="Z485" t="s">
        <v>522</v>
      </c>
    </row>
    <row r="486" spans="1:26">
      <c r="A486">
        <v>266</v>
      </c>
      <c r="B486" t="s">
        <v>1258</v>
      </c>
      <c r="C486" t="s">
        <v>1259</v>
      </c>
      <c r="D486" t="s">
        <v>1260</v>
      </c>
      <c r="E486" t="s">
        <v>1261</v>
      </c>
      <c r="F486" t="s">
        <v>1262</v>
      </c>
      <c r="G486" t="s">
        <v>89</v>
      </c>
      <c r="H486" t="s">
        <v>10</v>
      </c>
      <c r="I486">
        <v>0</v>
      </c>
      <c r="J486" t="s">
        <v>1278</v>
      </c>
      <c r="K486" s="9">
        <v>0.877066</v>
      </c>
      <c r="L486" s="9">
        <v>0.277987</v>
      </c>
      <c r="M486" s="9">
        <v>0.272259</v>
      </c>
      <c r="N486" t="s">
        <v>14</v>
      </c>
      <c r="O486" s="9">
        <v>0.85</v>
      </c>
      <c r="S486" s="7">
        <v>63.15</v>
      </c>
      <c r="T486" s="7">
        <v>31.7</v>
      </c>
      <c r="X486" s="10" t="s">
        <v>428</v>
      </c>
      <c r="Y486" s="11" t="s">
        <v>1279</v>
      </c>
      <c r="Z486" t="s">
        <v>522</v>
      </c>
    </row>
    <row r="487" spans="1:26">
      <c r="A487">
        <v>267</v>
      </c>
      <c r="B487" t="s">
        <v>1258</v>
      </c>
      <c r="C487" t="s">
        <v>1259</v>
      </c>
      <c r="D487" t="s">
        <v>1260</v>
      </c>
      <c r="E487" t="s">
        <v>1261</v>
      </c>
      <c r="F487" t="s">
        <v>1262</v>
      </c>
      <c r="G487" t="s">
        <v>93</v>
      </c>
      <c r="H487" t="s">
        <v>10</v>
      </c>
      <c r="I487">
        <v>0</v>
      </c>
      <c r="J487" t="s">
        <v>751</v>
      </c>
      <c r="K487" s="9">
        <v>1.051891</v>
      </c>
      <c r="L487" s="9">
        <v>0.362853</v>
      </c>
      <c r="M487" s="9">
        <v>0.299099</v>
      </c>
      <c r="N487" t="s">
        <v>14</v>
      </c>
      <c r="O487" s="9">
        <v>0.9399999999999999</v>
      </c>
      <c r="S487" s="7">
        <v>61.15</v>
      </c>
      <c r="T487" s="7">
        <v>34.5</v>
      </c>
      <c r="X487" s="10" t="s">
        <v>428</v>
      </c>
      <c r="Y487" s="11" t="s">
        <v>1280</v>
      </c>
      <c r="Z487" t="s">
        <v>522</v>
      </c>
    </row>
    <row r="488" spans="1:26">
      <c r="A488">
        <v>268</v>
      </c>
      <c r="B488" t="s">
        <v>1258</v>
      </c>
      <c r="C488" t="s">
        <v>1259</v>
      </c>
      <c r="D488" t="s">
        <v>1260</v>
      </c>
      <c r="E488" t="s">
        <v>1261</v>
      </c>
      <c r="F488" t="s">
        <v>1262</v>
      </c>
      <c r="G488" t="s">
        <v>98</v>
      </c>
      <c r="H488" t="s">
        <v>10</v>
      </c>
      <c r="I488">
        <v>0</v>
      </c>
      <c r="J488" t="s">
        <v>1104</v>
      </c>
      <c r="K488" s="9">
        <v>1.176801</v>
      </c>
      <c r="L488" s="9">
        <v>0.417347</v>
      </c>
      <c r="M488" s="9">
        <v>0.353999</v>
      </c>
      <c r="N488" t="s">
        <v>14</v>
      </c>
      <c r="O488" s="9">
        <v>1.13</v>
      </c>
      <c r="S488" s="7">
        <v>60.33</v>
      </c>
      <c r="T488" s="7">
        <v>35.46</v>
      </c>
      <c r="X488" s="10" t="s">
        <v>428</v>
      </c>
      <c r="Y488" s="11" t="s">
        <v>1281</v>
      </c>
      <c r="Z488" t="s">
        <v>522</v>
      </c>
    </row>
    <row r="489" spans="1:26">
      <c r="A489">
        <v>269</v>
      </c>
      <c r="B489" t="s">
        <v>1258</v>
      </c>
      <c r="C489" t="s">
        <v>1259</v>
      </c>
      <c r="D489" t="s">
        <v>1260</v>
      </c>
      <c r="E489" t="s">
        <v>1261</v>
      </c>
      <c r="F489" t="s">
        <v>1262</v>
      </c>
      <c r="G489" t="s">
        <v>103</v>
      </c>
      <c r="H489" t="s">
        <v>10</v>
      </c>
      <c r="I489">
        <v>0</v>
      </c>
      <c r="J489" t="s">
        <v>1282</v>
      </c>
      <c r="K489" s="9">
        <v>1.275552</v>
      </c>
      <c r="L489" s="9">
        <v>0.468919</v>
      </c>
      <c r="M489" s="9">
        <v>0.427089</v>
      </c>
      <c r="N489" t="s">
        <v>14</v>
      </c>
      <c r="S489" s="7">
        <v>60.26</v>
      </c>
      <c r="T489" s="7">
        <v>36.76</v>
      </c>
      <c r="X489" s="10" t="s">
        <v>483</v>
      </c>
      <c r="Y489" s="11" t="s">
        <v>1283</v>
      </c>
      <c r="Z489" t="s">
        <v>522</v>
      </c>
    </row>
    <row r="490" spans="1:26">
      <c r="A490">
        <v>270</v>
      </c>
      <c r="B490" t="s">
        <v>1258</v>
      </c>
      <c r="C490" t="s">
        <v>1259</v>
      </c>
      <c r="D490" t="s">
        <v>1260</v>
      </c>
      <c r="E490" t="s">
        <v>1261</v>
      </c>
      <c r="F490" t="s">
        <v>1262</v>
      </c>
      <c r="G490" t="s">
        <v>107</v>
      </c>
      <c r="H490" t="s">
        <v>10</v>
      </c>
      <c r="I490">
        <v>0</v>
      </c>
      <c r="J490" t="s">
        <v>1284</v>
      </c>
      <c r="K490" s="9">
        <v>1.351351</v>
      </c>
      <c r="L490" s="9">
        <v>0.484578</v>
      </c>
      <c r="M490" s="9">
        <v>0.436473</v>
      </c>
      <c r="N490" t="s">
        <v>14</v>
      </c>
      <c r="O490" s="9">
        <v>1.38</v>
      </c>
      <c r="S490" s="7">
        <v>59.53</v>
      </c>
      <c r="T490" s="7">
        <v>35.86</v>
      </c>
      <c r="X490" s="10" t="s">
        <v>428</v>
      </c>
      <c r="Y490" s="11" t="s">
        <v>1285</v>
      </c>
      <c r="Z490" t="s">
        <v>522</v>
      </c>
    </row>
    <row r="491" spans="1:26">
      <c r="A491">
        <v>271</v>
      </c>
      <c r="B491" t="s">
        <v>1258</v>
      </c>
      <c r="C491" t="s">
        <v>1259</v>
      </c>
      <c r="D491" t="s">
        <v>1260</v>
      </c>
      <c r="E491" t="s">
        <v>1261</v>
      </c>
      <c r="F491" t="s">
        <v>1262</v>
      </c>
      <c r="G491" t="s">
        <v>112</v>
      </c>
      <c r="H491" t="s">
        <v>10</v>
      </c>
      <c r="I491">
        <v>0</v>
      </c>
      <c r="J491" t="s">
        <v>316</v>
      </c>
      <c r="K491" s="9">
        <v>1.458924</v>
      </c>
      <c r="L491" s="9">
        <v>0.530062</v>
      </c>
      <c r="M491" s="9">
        <v>0.491885</v>
      </c>
      <c r="N491" t="s">
        <v>14</v>
      </c>
      <c r="O491" s="9">
        <v>1.55</v>
      </c>
      <c r="S491" s="7">
        <v>60.6</v>
      </c>
      <c r="T491" s="7">
        <v>36.33</v>
      </c>
      <c r="X491" s="10" t="s">
        <v>428</v>
      </c>
      <c r="Y491" s="11" t="s">
        <v>1286</v>
      </c>
      <c r="Z491" t="s">
        <v>522</v>
      </c>
    </row>
    <row r="492" spans="1:26">
      <c r="A492">
        <v>272</v>
      </c>
      <c r="B492" t="s">
        <v>1258</v>
      </c>
      <c r="C492" t="s">
        <v>1259</v>
      </c>
      <c r="D492" t="s">
        <v>1260</v>
      </c>
      <c r="E492" t="s">
        <v>1261</v>
      </c>
      <c r="F492" t="s">
        <v>1262</v>
      </c>
      <c r="G492" t="s">
        <v>116</v>
      </c>
      <c r="H492" t="s">
        <v>10</v>
      </c>
      <c r="I492">
        <v>0</v>
      </c>
      <c r="J492" t="s">
        <v>1287</v>
      </c>
      <c r="K492" s="9">
        <v>1.509456</v>
      </c>
      <c r="L492" s="9">
        <v>0.602695</v>
      </c>
      <c r="M492" s="9">
        <v>0.545327</v>
      </c>
      <c r="N492" t="s">
        <v>14</v>
      </c>
      <c r="O492" s="9">
        <v>1.72</v>
      </c>
      <c r="S492" s="7">
        <v>62.43</v>
      </c>
      <c r="T492" s="7">
        <v>39.93</v>
      </c>
      <c r="X492" s="10" t="s">
        <v>428</v>
      </c>
      <c r="Y492" s="11" t="s">
        <v>1288</v>
      </c>
      <c r="Z492" t="s">
        <v>522</v>
      </c>
    </row>
    <row r="493" spans="1:26">
      <c r="A493">
        <v>273</v>
      </c>
      <c r="B493" t="s">
        <v>1258</v>
      </c>
      <c r="C493" t="s">
        <v>1259</v>
      </c>
      <c r="D493" t="s">
        <v>1260</v>
      </c>
      <c r="E493" t="s">
        <v>1261</v>
      </c>
      <c r="F493" t="s">
        <v>1262</v>
      </c>
      <c r="G493" t="s">
        <v>120</v>
      </c>
      <c r="H493" t="s">
        <v>10</v>
      </c>
      <c r="I493">
        <v>0</v>
      </c>
      <c r="J493" t="s">
        <v>1289</v>
      </c>
      <c r="K493" s="9">
        <v>1.540469</v>
      </c>
      <c r="L493" s="9">
        <v>0.639965</v>
      </c>
      <c r="M493" s="9">
        <v>0.613615</v>
      </c>
      <c r="N493" t="s">
        <v>14</v>
      </c>
      <c r="S493" s="7">
        <v>64.87</v>
      </c>
      <c r="T493" s="7">
        <v>41.54</v>
      </c>
      <c r="X493" s="10" t="s">
        <v>483</v>
      </c>
      <c r="Y493" s="11" t="s">
        <v>1290</v>
      </c>
      <c r="Z493" t="s">
        <v>522</v>
      </c>
    </row>
    <row r="494" spans="1:26">
      <c r="A494">
        <v>274</v>
      </c>
      <c r="B494" t="s">
        <v>1258</v>
      </c>
      <c r="C494" t="s">
        <v>1259</v>
      </c>
      <c r="D494" t="s">
        <v>1260</v>
      </c>
      <c r="E494" t="s">
        <v>1261</v>
      </c>
      <c r="F494" t="s">
        <v>1262</v>
      </c>
      <c r="G494" t="s">
        <v>124</v>
      </c>
      <c r="H494" t="s">
        <v>10</v>
      </c>
      <c r="I494">
        <v>0</v>
      </c>
      <c r="J494" t="s">
        <v>507</v>
      </c>
      <c r="K494" s="9">
        <v>1.5714</v>
      </c>
      <c r="L494" s="9">
        <v>0.6602</v>
      </c>
      <c r="M494" s="9">
        <v>0.6377</v>
      </c>
      <c r="N494" t="s">
        <v>14</v>
      </c>
      <c r="O494" s="9">
        <v>0.5</v>
      </c>
      <c r="S494" s="7">
        <v>63.73</v>
      </c>
      <c r="T494" s="7">
        <v>42.01</v>
      </c>
      <c r="X494" s="10" t="s">
        <v>428</v>
      </c>
      <c r="Y494" s="11" t="s">
        <v>1291</v>
      </c>
      <c r="Z494" t="s">
        <v>522</v>
      </c>
    </row>
    <row r="495" spans="1:26">
      <c r="A495">
        <v>275</v>
      </c>
      <c r="B495" t="s">
        <v>1258</v>
      </c>
      <c r="C495" t="s">
        <v>1259</v>
      </c>
      <c r="D495" t="s">
        <v>1260</v>
      </c>
      <c r="E495" t="s">
        <v>1261</v>
      </c>
      <c r="F495" t="s">
        <v>1262</v>
      </c>
      <c r="G495" t="s">
        <v>128</v>
      </c>
      <c r="H495" t="s">
        <v>10</v>
      </c>
      <c r="I495">
        <v>0</v>
      </c>
      <c r="J495" t="s">
        <v>509</v>
      </c>
      <c r="K495" s="9">
        <v>1.6904</v>
      </c>
      <c r="L495" s="9">
        <v>0.6996</v>
      </c>
      <c r="M495" s="9">
        <v>0.6654</v>
      </c>
      <c r="N495" t="s">
        <v>14</v>
      </c>
      <c r="O495" s="9">
        <v>0.52</v>
      </c>
      <c r="S495" s="7">
        <v>64.91</v>
      </c>
      <c r="T495" s="7">
        <v>41.39</v>
      </c>
      <c r="X495" s="10" t="s">
        <v>428</v>
      </c>
      <c r="Y495" s="11" t="s">
        <v>1292</v>
      </c>
      <c r="Z495" t="s">
        <v>522</v>
      </c>
    </row>
    <row r="496" spans="1:26">
      <c r="A496">
        <v>276</v>
      </c>
      <c r="B496" t="s">
        <v>1258</v>
      </c>
      <c r="C496" t="s">
        <v>1259</v>
      </c>
      <c r="D496" t="s">
        <v>1260</v>
      </c>
      <c r="E496" t="s">
        <v>1261</v>
      </c>
      <c r="F496" t="s">
        <v>1262</v>
      </c>
      <c r="G496" t="s">
        <v>133</v>
      </c>
      <c r="H496" t="s">
        <v>10</v>
      </c>
      <c r="I496">
        <v>0</v>
      </c>
      <c r="J496" t="s">
        <v>511</v>
      </c>
      <c r="K496" s="9">
        <v>1.8109</v>
      </c>
      <c r="L496" s="9">
        <v>0.7853</v>
      </c>
      <c r="M496" s="9">
        <v>0.748</v>
      </c>
      <c r="N496" t="s">
        <v>14</v>
      </c>
      <c r="O496" s="9">
        <v>0.58</v>
      </c>
      <c r="S496" s="7">
        <v>64.15000000000001</v>
      </c>
      <c r="T496" s="7">
        <v>43.37</v>
      </c>
      <c r="X496" s="10" t="s">
        <v>428</v>
      </c>
      <c r="Y496" s="11" t="s">
        <v>1293</v>
      </c>
      <c r="Z496" t="s">
        <v>522</v>
      </c>
    </row>
    <row r="497" spans="1:26">
      <c r="A497">
        <v>277</v>
      </c>
      <c r="B497" t="s">
        <v>1258</v>
      </c>
      <c r="C497" t="s">
        <v>1259</v>
      </c>
      <c r="D497" t="s">
        <v>1260</v>
      </c>
      <c r="E497" t="s">
        <v>1261</v>
      </c>
      <c r="F497" t="s">
        <v>1262</v>
      </c>
      <c r="G497" t="s">
        <v>137</v>
      </c>
      <c r="H497" t="s">
        <v>10</v>
      </c>
      <c r="I497">
        <v>0</v>
      </c>
      <c r="J497" t="s">
        <v>1289</v>
      </c>
      <c r="K497" s="9">
        <v>1.9304</v>
      </c>
      <c r="L497" s="9">
        <v>0.7995</v>
      </c>
      <c r="M497" s="9">
        <v>0.801</v>
      </c>
      <c r="N497" t="s">
        <v>14</v>
      </c>
      <c r="S497" s="7">
        <v>63.77</v>
      </c>
      <c r="T497" s="7">
        <v>41.42</v>
      </c>
      <c r="X497" s="10" t="s">
        <v>483</v>
      </c>
      <c r="Y497" s="11" t="s">
        <v>1290</v>
      </c>
      <c r="Z497" t="s">
        <v>522</v>
      </c>
    </row>
    <row r="498" spans="1:26">
      <c r="A498">
        <v>278</v>
      </c>
      <c r="B498" t="s">
        <v>1258</v>
      </c>
      <c r="C498" t="s">
        <v>1259</v>
      </c>
      <c r="D498" t="s">
        <v>1260</v>
      </c>
      <c r="E498" t="s">
        <v>1261</v>
      </c>
      <c r="F498" t="s">
        <v>1262</v>
      </c>
      <c r="G498" t="s">
        <v>141</v>
      </c>
      <c r="H498" t="s">
        <v>10</v>
      </c>
      <c r="I498">
        <v>0</v>
      </c>
      <c r="J498" t="s">
        <v>513</v>
      </c>
      <c r="K498" s="9">
        <v>2.0048</v>
      </c>
      <c r="L498" s="9">
        <v>0.8588</v>
      </c>
      <c r="M498" s="9">
        <v>0.8138</v>
      </c>
      <c r="N498" t="s">
        <v>14</v>
      </c>
      <c r="O498" s="9">
        <v>0.64</v>
      </c>
      <c r="S498" s="7">
        <v>63.65</v>
      </c>
      <c r="T498" s="7">
        <v>42.84</v>
      </c>
      <c r="X498" s="10" t="s">
        <v>428</v>
      </c>
      <c r="Y498" s="11" t="s">
        <v>1294</v>
      </c>
      <c r="Z498" t="s">
        <v>522</v>
      </c>
    </row>
    <row r="499" spans="1:26">
      <c r="A499">
        <v>279</v>
      </c>
      <c r="B499" t="s">
        <v>1258</v>
      </c>
      <c r="C499" t="s">
        <v>1259</v>
      </c>
      <c r="D499" t="s">
        <v>1260</v>
      </c>
      <c r="E499" t="s">
        <v>1261</v>
      </c>
      <c r="F499" t="s">
        <v>1262</v>
      </c>
      <c r="G499" t="s">
        <v>146</v>
      </c>
      <c r="H499" t="s">
        <v>10</v>
      </c>
      <c r="I499">
        <v>0</v>
      </c>
      <c r="J499" t="s">
        <v>515</v>
      </c>
      <c r="K499" s="9">
        <v>2.2048</v>
      </c>
      <c r="L499" s="9">
        <v>0.9862</v>
      </c>
      <c r="M499" s="9">
        <v>0.8888</v>
      </c>
      <c r="N499" t="s">
        <v>14</v>
      </c>
      <c r="O499" s="9">
        <v>0.7</v>
      </c>
      <c r="S499" s="7">
        <v>65.25</v>
      </c>
      <c r="T499" s="7">
        <v>44.73</v>
      </c>
      <c r="X499" s="10" t="s">
        <v>428</v>
      </c>
      <c r="Y499" s="11" t="s">
        <v>1295</v>
      </c>
      <c r="Z499" t="s">
        <v>522</v>
      </c>
    </row>
    <row r="500" spans="1:26">
      <c r="A500">
        <v>280</v>
      </c>
      <c r="B500" t="s">
        <v>1258</v>
      </c>
      <c r="C500" t="s">
        <v>1259</v>
      </c>
      <c r="D500" t="s">
        <v>1260</v>
      </c>
      <c r="E500" t="s">
        <v>1261</v>
      </c>
      <c r="F500" t="s">
        <v>1262</v>
      </c>
      <c r="G500" t="s">
        <v>472</v>
      </c>
      <c r="H500" t="s">
        <v>10</v>
      </c>
      <c r="I500">
        <v>0</v>
      </c>
      <c r="J500" t="s">
        <v>511</v>
      </c>
      <c r="K500" s="9">
        <v>2.3083</v>
      </c>
      <c r="L500" s="9">
        <v>0.9782</v>
      </c>
      <c r="M500" s="9">
        <v>0.853</v>
      </c>
      <c r="N500" t="s">
        <v>14</v>
      </c>
      <c r="O500" s="9">
        <v>0.67</v>
      </c>
      <c r="S500" s="7">
        <v>64.56</v>
      </c>
      <c r="T500" s="7">
        <v>42.38</v>
      </c>
      <c r="X500" s="10" t="s">
        <v>428</v>
      </c>
      <c r="Y500" s="11" t="s">
        <v>1293</v>
      </c>
      <c r="Z500" t="s">
        <v>522</v>
      </c>
    </row>
    <row r="501" spans="1:26">
      <c r="A501">
        <v>281</v>
      </c>
      <c r="B501" t="s">
        <v>1258</v>
      </c>
      <c r="C501" t="s">
        <v>1259</v>
      </c>
      <c r="D501" t="s">
        <v>1260</v>
      </c>
      <c r="E501" t="s">
        <v>1261</v>
      </c>
      <c r="F501" t="s">
        <v>1262</v>
      </c>
      <c r="G501" t="s">
        <v>475</v>
      </c>
      <c r="H501" t="s">
        <v>10</v>
      </c>
      <c r="I501">
        <v>0</v>
      </c>
      <c r="J501" t="s">
        <v>1289</v>
      </c>
      <c r="K501" s="9">
        <v>2.4878</v>
      </c>
      <c r="L501" s="9">
        <v>1.0329</v>
      </c>
      <c r="M501" s="9">
        <v>0.9558</v>
      </c>
      <c r="N501" t="s">
        <v>14</v>
      </c>
      <c r="S501" s="7">
        <v>62.86</v>
      </c>
      <c r="T501" s="7">
        <v>41.52</v>
      </c>
      <c r="X501" s="10" t="s">
        <v>483</v>
      </c>
      <c r="Y501" s="11" t="s">
        <v>1290</v>
      </c>
      <c r="Z501" t="s">
        <v>522</v>
      </c>
    </row>
    <row r="502" spans="1:26">
      <c r="A502">
        <v>282</v>
      </c>
      <c r="B502" t="s">
        <v>1258</v>
      </c>
      <c r="C502" t="s">
        <v>1259</v>
      </c>
      <c r="D502" t="s">
        <v>1260</v>
      </c>
      <c r="E502" t="s">
        <v>1261</v>
      </c>
      <c r="F502" t="s">
        <v>1262</v>
      </c>
      <c r="G502" t="s">
        <v>150</v>
      </c>
      <c r="H502" t="s">
        <v>10</v>
      </c>
      <c r="I502">
        <v>0</v>
      </c>
      <c r="J502" t="s">
        <v>513</v>
      </c>
      <c r="K502" s="9">
        <v>2.709</v>
      </c>
      <c r="L502" s="9">
        <v>1.1578</v>
      </c>
      <c r="M502" s="9">
        <v>1.0229</v>
      </c>
      <c r="N502" t="s">
        <v>14</v>
      </c>
      <c r="O502" s="9">
        <v>0.8</v>
      </c>
      <c r="S502" s="7">
        <v>61.9</v>
      </c>
      <c r="T502" s="7">
        <v>42.74</v>
      </c>
      <c r="X502" s="10" t="s">
        <v>428</v>
      </c>
      <c r="Y502" s="11" t="s">
        <v>1294</v>
      </c>
      <c r="Z502" t="s">
        <v>522</v>
      </c>
    </row>
    <row r="503" spans="1:26">
      <c r="A503">
        <v>283</v>
      </c>
      <c r="B503" t="s">
        <v>1258</v>
      </c>
      <c r="C503" t="s">
        <v>1259</v>
      </c>
      <c r="D503" t="s">
        <v>1260</v>
      </c>
      <c r="E503" t="s">
        <v>1261</v>
      </c>
      <c r="F503" t="s">
        <v>1262</v>
      </c>
      <c r="G503" t="s">
        <v>155</v>
      </c>
      <c r="H503" t="s">
        <v>10</v>
      </c>
      <c r="I503">
        <v>0</v>
      </c>
      <c r="J503" t="s">
        <v>515</v>
      </c>
      <c r="K503" s="9">
        <v>3.0357</v>
      </c>
      <c r="L503" s="9">
        <v>1.378</v>
      </c>
      <c r="M503" s="9">
        <v>1.2129</v>
      </c>
      <c r="N503" t="s">
        <v>14</v>
      </c>
      <c r="O503" s="9">
        <v>0.95</v>
      </c>
      <c r="S503" s="7">
        <v>62.93</v>
      </c>
      <c r="T503" s="7">
        <v>45.39</v>
      </c>
      <c r="X503" s="10" t="s">
        <v>428</v>
      </c>
      <c r="Y503" s="11" t="s">
        <v>1295</v>
      </c>
      <c r="Z503" t="s">
        <v>522</v>
      </c>
    </row>
    <row r="504" spans="1:26">
      <c r="A504">
        <v>489</v>
      </c>
      <c r="B504" t="s">
        <v>1296</v>
      </c>
      <c r="C504" t="s">
        <v>1297</v>
      </c>
      <c r="D504" t="s">
        <v>1298</v>
      </c>
      <c r="E504" t="s">
        <v>1261</v>
      </c>
      <c r="F504" t="s">
        <v>1299</v>
      </c>
      <c r="G504" t="s">
        <v>50</v>
      </c>
      <c r="H504" t="s">
        <v>10</v>
      </c>
      <c r="I504">
        <v>0</v>
      </c>
      <c r="J504" t="s">
        <v>1300</v>
      </c>
      <c r="K504" s="9">
        <v>0.728084</v>
      </c>
      <c r="M504" s="9">
        <v>0.046266</v>
      </c>
      <c r="N504" t="s">
        <v>14</v>
      </c>
      <c r="O504" s="9">
        <v>0.38</v>
      </c>
      <c r="X504" s="10" t="s">
        <v>428</v>
      </c>
      <c r="Y504" s="11" t="s">
        <v>1301</v>
      </c>
      <c r="Z504" t="s">
        <v>430</v>
      </c>
    </row>
    <row r="505" spans="1:26">
      <c r="A505">
        <v>490</v>
      </c>
      <c r="B505" t="s">
        <v>1296</v>
      </c>
      <c r="C505" t="s">
        <v>1297</v>
      </c>
      <c r="D505" t="s">
        <v>1298</v>
      </c>
      <c r="E505" t="s">
        <v>1261</v>
      </c>
      <c r="F505" t="s">
        <v>1299</v>
      </c>
      <c r="G505" t="s">
        <v>57</v>
      </c>
      <c r="H505" t="s">
        <v>10</v>
      </c>
      <c r="I505">
        <v>0</v>
      </c>
      <c r="J505" t="s">
        <v>1302</v>
      </c>
      <c r="K505" s="9">
        <v>0.786569</v>
      </c>
      <c r="L505" s="9">
        <v>0.106283</v>
      </c>
      <c r="M505" s="9">
        <v>0.08790000000000001</v>
      </c>
      <c r="N505" t="s">
        <v>14</v>
      </c>
      <c r="O505" s="9">
        <v>0.73</v>
      </c>
      <c r="T505" s="7">
        <v>13.51</v>
      </c>
      <c r="X505" s="10" t="s">
        <v>428</v>
      </c>
      <c r="Y505" s="11" t="s">
        <v>1303</v>
      </c>
      <c r="Z505" t="s">
        <v>430</v>
      </c>
    </row>
    <row r="506" spans="1:26">
      <c r="A506">
        <v>491</v>
      </c>
      <c r="B506" t="s">
        <v>1296</v>
      </c>
      <c r="C506" t="s">
        <v>1297</v>
      </c>
      <c r="D506" t="s">
        <v>1298</v>
      </c>
      <c r="E506" t="s">
        <v>1261</v>
      </c>
      <c r="F506" t="s">
        <v>1299</v>
      </c>
      <c r="G506" t="s">
        <v>62</v>
      </c>
      <c r="H506" t="s">
        <v>10</v>
      </c>
      <c r="I506">
        <v>0</v>
      </c>
      <c r="J506" t="s">
        <v>1304</v>
      </c>
      <c r="K506" s="9">
        <v>0.627041</v>
      </c>
      <c r="M506" s="9">
        <v>0.005921</v>
      </c>
      <c r="N506" t="s">
        <v>14</v>
      </c>
      <c r="O506" s="9">
        <v>0.06</v>
      </c>
      <c r="X506" s="10" t="s">
        <v>428</v>
      </c>
      <c r="Y506" s="11" t="s">
        <v>1305</v>
      </c>
      <c r="Z506" t="s">
        <v>430</v>
      </c>
    </row>
    <row r="507" spans="1:26">
      <c r="A507">
        <v>492</v>
      </c>
      <c r="B507" t="s">
        <v>1296</v>
      </c>
      <c r="C507" t="s">
        <v>1297</v>
      </c>
      <c r="D507" t="s">
        <v>1298</v>
      </c>
      <c r="E507" t="s">
        <v>1261</v>
      </c>
      <c r="F507" t="s">
        <v>1299</v>
      </c>
      <c r="G507" t="s">
        <v>66</v>
      </c>
      <c r="H507" t="s">
        <v>10</v>
      </c>
      <c r="I507">
        <v>0</v>
      </c>
      <c r="J507" t="s">
        <v>1306</v>
      </c>
      <c r="K507" s="9">
        <v>0.74629</v>
      </c>
      <c r="M507" s="9">
        <v>0.051261</v>
      </c>
      <c r="N507" t="s">
        <v>14</v>
      </c>
      <c r="X507" s="10" t="s">
        <v>829</v>
      </c>
      <c r="Y507" s="11" t="s">
        <v>1307</v>
      </c>
      <c r="Z507" t="s">
        <v>430</v>
      </c>
    </row>
    <row r="508" spans="1:26">
      <c r="A508">
        <v>493</v>
      </c>
      <c r="B508" t="s">
        <v>1296</v>
      </c>
      <c r="C508" t="s">
        <v>1297</v>
      </c>
      <c r="D508" t="s">
        <v>1298</v>
      </c>
      <c r="E508" t="s">
        <v>1261</v>
      </c>
      <c r="F508" t="s">
        <v>1299</v>
      </c>
      <c r="G508" t="s">
        <v>71</v>
      </c>
      <c r="H508" t="s">
        <v>10</v>
      </c>
      <c r="I508">
        <v>0</v>
      </c>
      <c r="J508" t="s">
        <v>1308</v>
      </c>
      <c r="K508" s="9">
        <v>0.795111</v>
      </c>
      <c r="L508" s="9">
        <v>0.09044099999999999</v>
      </c>
      <c r="M508" s="9">
        <v>0.074464</v>
      </c>
      <c r="N508" t="s">
        <v>14</v>
      </c>
      <c r="O508" s="9">
        <v>0.5</v>
      </c>
      <c r="T508" s="7">
        <v>11.37</v>
      </c>
      <c r="X508" s="10" t="s">
        <v>428</v>
      </c>
      <c r="Y508" s="11" t="s">
        <v>1309</v>
      </c>
      <c r="Z508" t="s">
        <v>430</v>
      </c>
    </row>
    <row r="509" spans="1:26">
      <c r="A509">
        <v>494</v>
      </c>
      <c r="B509" t="s">
        <v>1296</v>
      </c>
      <c r="C509" t="s">
        <v>1297</v>
      </c>
      <c r="D509" t="s">
        <v>1298</v>
      </c>
      <c r="E509" t="s">
        <v>1261</v>
      </c>
      <c r="F509" t="s">
        <v>1299</v>
      </c>
      <c r="G509" t="s">
        <v>75</v>
      </c>
      <c r="H509" t="s">
        <v>10</v>
      </c>
      <c r="I509">
        <v>0</v>
      </c>
      <c r="J509" t="s">
        <v>1310</v>
      </c>
      <c r="K509" s="9">
        <v>0.806819</v>
      </c>
      <c r="L509" s="9">
        <v>0.07935399999999999</v>
      </c>
      <c r="M509" s="9">
        <v>0.06765699999999999</v>
      </c>
      <c r="N509" t="s">
        <v>14</v>
      </c>
      <c r="O509" s="9">
        <v>0.44</v>
      </c>
      <c r="T509" s="7">
        <v>9.84</v>
      </c>
      <c r="X509" s="10" t="s">
        <v>428</v>
      </c>
      <c r="Y509" s="11" t="s">
        <v>1311</v>
      </c>
      <c r="Z509" t="s">
        <v>430</v>
      </c>
    </row>
    <row r="510" spans="1:26">
      <c r="A510">
        <v>495</v>
      </c>
      <c r="B510" t="s">
        <v>1296</v>
      </c>
      <c r="C510" t="s">
        <v>1297</v>
      </c>
      <c r="D510" t="s">
        <v>1298</v>
      </c>
      <c r="E510" t="s">
        <v>1261</v>
      </c>
      <c r="F510" t="s">
        <v>1299</v>
      </c>
      <c r="G510" t="s">
        <v>80</v>
      </c>
      <c r="H510" t="s">
        <v>10</v>
      </c>
      <c r="I510">
        <v>0</v>
      </c>
      <c r="J510" t="s">
        <v>1312</v>
      </c>
      <c r="K510" s="9">
        <v>0.783232</v>
      </c>
      <c r="L510" s="9">
        <v>0.09347900000000001</v>
      </c>
      <c r="M510" s="9">
        <v>0.081092</v>
      </c>
      <c r="N510" t="s">
        <v>14</v>
      </c>
      <c r="O510" s="9">
        <v>0.66</v>
      </c>
      <c r="T510" s="7">
        <v>11.94</v>
      </c>
      <c r="X510" s="10" t="s">
        <v>428</v>
      </c>
      <c r="Y510" s="11" t="s">
        <v>1313</v>
      </c>
      <c r="Z510" t="s">
        <v>430</v>
      </c>
    </row>
    <row r="511" spans="1:26">
      <c r="A511">
        <v>496</v>
      </c>
      <c r="B511" t="s">
        <v>1296</v>
      </c>
      <c r="C511" t="s">
        <v>1297</v>
      </c>
      <c r="D511" t="s">
        <v>1298</v>
      </c>
      <c r="E511" t="s">
        <v>1261</v>
      </c>
      <c r="F511" t="s">
        <v>1299</v>
      </c>
      <c r="G511" t="s">
        <v>85</v>
      </c>
      <c r="H511" t="s">
        <v>10</v>
      </c>
      <c r="I511">
        <v>0</v>
      </c>
      <c r="J511" t="s">
        <v>1314</v>
      </c>
      <c r="K511" s="9">
        <v>0.808006</v>
      </c>
      <c r="M511" s="9">
        <v>0.08229400000000001</v>
      </c>
      <c r="N511" t="s">
        <v>14</v>
      </c>
      <c r="X511" s="10" t="s">
        <v>829</v>
      </c>
      <c r="Y511" s="11" t="s">
        <v>1315</v>
      </c>
      <c r="Z511" t="s">
        <v>430</v>
      </c>
    </row>
    <row r="512" spans="1:26">
      <c r="A512">
        <v>497</v>
      </c>
      <c r="B512" t="s">
        <v>1296</v>
      </c>
      <c r="C512" t="s">
        <v>1297</v>
      </c>
      <c r="D512" t="s">
        <v>1298</v>
      </c>
      <c r="E512" t="s">
        <v>1261</v>
      </c>
      <c r="F512" t="s">
        <v>1299</v>
      </c>
      <c r="G512" t="s">
        <v>89</v>
      </c>
      <c r="H512" t="s">
        <v>10</v>
      </c>
      <c r="I512">
        <v>0</v>
      </c>
      <c r="J512" t="s">
        <v>1239</v>
      </c>
      <c r="K512" s="9">
        <v>1.34457</v>
      </c>
      <c r="L512" s="9">
        <v>-0.051018</v>
      </c>
      <c r="M512" s="9">
        <v>-0.038698</v>
      </c>
      <c r="N512" t="s">
        <v>14</v>
      </c>
      <c r="O512" s="9">
        <v>-0.5600000000000001</v>
      </c>
      <c r="T512" s="7">
        <v>-3.79</v>
      </c>
      <c r="X512" s="10" t="s">
        <v>428</v>
      </c>
      <c r="Y512" s="11" t="s">
        <v>1316</v>
      </c>
      <c r="Z512" t="s">
        <v>430</v>
      </c>
    </row>
    <row r="513" spans="1:26">
      <c r="A513">
        <v>498</v>
      </c>
      <c r="B513" t="s">
        <v>1296</v>
      </c>
      <c r="C513" t="s">
        <v>1297</v>
      </c>
      <c r="D513" t="s">
        <v>1298</v>
      </c>
      <c r="E513" t="s">
        <v>1261</v>
      </c>
      <c r="F513" t="s">
        <v>1299</v>
      </c>
      <c r="G513" t="s">
        <v>93</v>
      </c>
      <c r="H513" t="s">
        <v>10</v>
      </c>
      <c r="I513">
        <v>0</v>
      </c>
      <c r="J513" t="s">
        <v>1317</v>
      </c>
      <c r="K513" s="9">
        <v>1.370285</v>
      </c>
      <c r="L513" s="9">
        <v>-0.066354</v>
      </c>
      <c r="M513" s="9">
        <v>-0.045072</v>
      </c>
      <c r="N513" t="s">
        <v>14</v>
      </c>
      <c r="O513" s="9">
        <v>-0.58</v>
      </c>
      <c r="T513" s="7">
        <v>-4.84</v>
      </c>
      <c r="X513" s="10" t="s">
        <v>428</v>
      </c>
      <c r="Y513" s="11" t="s">
        <v>1318</v>
      </c>
      <c r="Z513" t="s">
        <v>430</v>
      </c>
    </row>
    <row r="514" spans="1:26">
      <c r="A514">
        <v>499</v>
      </c>
      <c r="B514" t="s">
        <v>1296</v>
      </c>
      <c r="C514" t="s">
        <v>1297</v>
      </c>
      <c r="D514" t="s">
        <v>1298</v>
      </c>
      <c r="E514" t="s">
        <v>1261</v>
      </c>
      <c r="F514" t="s">
        <v>1299</v>
      </c>
      <c r="G514" t="s">
        <v>98</v>
      </c>
      <c r="H514" t="s">
        <v>10</v>
      </c>
      <c r="I514">
        <v>0</v>
      </c>
      <c r="J514" t="s">
        <v>1243</v>
      </c>
      <c r="K514" s="9">
        <v>0.827724</v>
      </c>
      <c r="L514" s="9">
        <v>0.063029</v>
      </c>
      <c r="M514" s="9">
        <v>-0.045072</v>
      </c>
      <c r="N514" t="s">
        <v>14</v>
      </c>
      <c r="O514" s="9">
        <v>0.28</v>
      </c>
      <c r="T514" s="7">
        <v>7.61</v>
      </c>
      <c r="X514" s="10" t="s">
        <v>428</v>
      </c>
      <c r="Y514" s="11" t="s">
        <v>1319</v>
      </c>
      <c r="Z514" t="s">
        <v>430</v>
      </c>
    </row>
    <row r="515" spans="1:26">
      <c r="A515">
        <v>500</v>
      </c>
      <c r="B515" t="s">
        <v>1296</v>
      </c>
      <c r="C515" t="s">
        <v>1297</v>
      </c>
      <c r="D515" t="s">
        <v>1298</v>
      </c>
      <c r="E515" t="s">
        <v>1261</v>
      </c>
      <c r="F515" t="s">
        <v>1299</v>
      </c>
      <c r="G515" t="s">
        <v>103</v>
      </c>
      <c r="H515" t="s">
        <v>10</v>
      </c>
      <c r="I515">
        <v>0</v>
      </c>
      <c r="J515" t="s">
        <v>1320</v>
      </c>
      <c r="K515" s="9">
        <v>0.886962</v>
      </c>
      <c r="L515" s="9">
        <v>0.048983</v>
      </c>
      <c r="M515" s="9">
        <v>0.043636</v>
      </c>
      <c r="N515" t="s">
        <v>14</v>
      </c>
      <c r="T515" s="7">
        <v>5.52</v>
      </c>
      <c r="X515" s="10" t="s">
        <v>436</v>
      </c>
      <c r="Y515" s="11" t="s">
        <v>1321</v>
      </c>
      <c r="Z515" t="s">
        <v>430</v>
      </c>
    </row>
    <row r="516" spans="1:26">
      <c r="A516">
        <v>501</v>
      </c>
      <c r="B516" t="s">
        <v>1296</v>
      </c>
      <c r="C516" t="s">
        <v>1297</v>
      </c>
      <c r="D516" t="s">
        <v>1298</v>
      </c>
      <c r="E516" t="s">
        <v>1261</v>
      </c>
      <c r="F516" t="s">
        <v>1299</v>
      </c>
      <c r="G516" t="s">
        <v>107</v>
      </c>
      <c r="H516" t="s">
        <v>10</v>
      </c>
      <c r="I516">
        <v>0</v>
      </c>
      <c r="J516" t="s">
        <v>1322</v>
      </c>
      <c r="K516" s="9">
        <v>1.053083</v>
      </c>
      <c r="L516" s="9">
        <v>-0.088297</v>
      </c>
      <c r="M516" s="9">
        <v>-0.067534</v>
      </c>
      <c r="N516" t="s">
        <v>14</v>
      </c>
      <c r="O516" s="9">
        <v>-0.65</v>
      </c>
      <c r="T516" s="7">
        <v>-8.380000000000001</v>
      </c>
      <c r="X516" s="10" t="s">
        <v>428</v>
      </c>
      <c r="Y516" s="11" t="s">
        <v>1323</v>
      </c>
      <c r="Z516" t="s">
        <v>430</v>
      </c>
    </row>
    <row r="517" spans="1:26">
      <c r="A517">
        <v>502</v>
      </c>
      <c r="B517" t="s">
        <v>1296</v>
      </c>
      <c r="C517" t="s">
        <v>1297</v>
      </c>
      <c r="D517" t="s">
        <v>1298</v>
      </c>
      <c r="E517" t="s">
        <v>1261</v>
      </c>
      <c r="F517" t="s">
        <v>1299</v>
      </c>
      <c r="G517" t="s">
        <v>112</v>
      </c>
      <c r="H517" t="s">
        <v>10</v>
      </c>
      <c r="I517">
        <v>0</v>
      </c>
      <c r="J517" t="s">
        <v>499</v>
      </c>
      <c r="K517" s="9">
        <v>1.131434</v>
      </c>
      <c r="L517" s="9">
        <v>-0.037407</v>
      </c>
      <c r="M517" s="9">
        <v>-0.028475</v>
      </c>
      <c r="N517" t="s">
        <v>14</v>
      </c>
      <c r="O517" s="9">
        <v>-0.38</v>
      </c>
      <c r="T517" s="7">
        <v>-3.31</v>
      </c>
      <c r="X517" s="10" t="s">
        <v>428</v>
      </c>
      <c r="Y517" s="11" t="s">
        <v>1324</v>
      </c>
      <c r="Z517" t="s">
        <v>430</v>
      </c>
    </row>
    <row r="518" spans="1:26">
      <c r="A518">
        <v>503</v>
      </c>
      <c r="B518" t="s">
        <v>1296</v>
      </c>
      <c r="C518" t="s">
        <v>1297</v>
      </c>
      <c r="D518" t="s">
        <v>1298</v>
      </c>
      <c r="E518" t="s">
        <v>1261</v>
      </c>
      <c r="F518" t="s">
        <v>1299</v>
      </c>
      <c r="G518" t="s">
        <v>116</v>
      </c>
      <c r="H518" t="s">
        <v>10</v>
      </c>
      <c r="I518">
        <v>0</v>
      </c>
      <c r="J518" t="s">
        <v>1325</v>
      </c>
      <c r="K518" s="9">
        <v>1.240194</v>
      </c>
      <c r="L518" s="9">
        <v>-0.004747</v>
      </c>
      <c r="M518" s="9">
        <v>-0.028475</v>
      </c>
      <c r="N518" t="s">
        <v>14</v>
      </c>
      <c r="O518" s="9">
        <v>-0.24</v>
      </c>
      <c r="T518" s="7">
        <v>-0.38</v>
      </c>
      <c r="X518" s="10" t="s">
        <v>428</v>
      </c>
      <c r="Y518" s="11" t="s">
        <v>1326</v>
      </c>
      <c r="Z518" t="s">
        <v>430</v>
      </c>
    </row>
    <row r="519" spans="1:26">
      <c r="A519">
        <v>504</v>
      </c>
      <c r="B519" t="s">
        <v>1296</v>
      </c>
      <c r="C519" t="s">
        <v>1297</v>
      </c>
      <c r="D519" t="s">
        <v>1298</v>
      </c>
      <c r="E519" t="s">
        <v>1261</v>
      </c>
      <c r="F519" t="s">
        <v>1299</v>
      </c>
      <c r="G519" t="s">
        <v>120</v>
      </c>
      <c r="H519" t="s">
        <v>10</v>
      </c>
      <c r="I519">
        <v>0</v>
      </c>
      <c r="J519" t="s">
        <v>1327</v>
      </c>
      <c r="K519" s="9">
        <v>1.205051</v>
      </c>
      <c r="L519" s="9">
        <v>-0.233439</v>
      </c>
      <c r="M519" s="9">
        <v>-0.178234</v>
      </c>
      <c r="N519" t="s">
        <v>14</v>
      </c>
      <c r="T519" s="7">
        <v>-19.37</v>
      </c>
      <c r="X519" s="10" t="s">
        <v>436</v>
      </c>
      <c r="Y519" s="11" t="s">
        <v>1328</v>
      </c>
      <c r="Z519" t="s">
        <v>430</v>
      </c>
    </row>
    <row r="520" spans="1:26">
      <c r="A520">
        <v>505</v>
      </c>
      <c r="B520" t="s">
        <v>1296</v>
      </c>
      <c r="C520" t="s">
        <v>1297</v>
      </c>
      <c r="D520" t="s">
        <v>1298</v>
      </c>
      <c r="E520" t="s">
        <v>1261</v>
      </c>
      <c r="F520" t="s">
        <v>1299</v>
      </c>
      <c r="G520" t="s">
        <v>124</v>
      </c>
      <c r="H520" t="s">
        <v>10</v>
      </c>
      <c r="I520">
        <v>0</v>
      </c>
      <c r="J520" t="s">
        <v>511</v>
      </c>
      <c r="K520" s="9">
        <v>1.348135</v>
      </c>
      <c r="L520" s="9">
        <v>0.019303</v>
      </c>
      <c r="M520" s="9">
        <v>0.024861</v>
      </c>
      <c r="N520" t="s">
        <v>14</v>
      </c>
      <c r="O520" s="9">
        <v>-0.04</v>
      </c>
      <c r="T520" s="7">
        <v>1.43</v>
      </c>
      <c r="X520" s="10" t="s">
        <v>428</v>
      </c>
      <c r="Y520" s="11" t="s">
        <v>1329</v>
      </c>
      <c r="Z520" t="s">
        <v>430</v>
      </c>
    </row>
    <row r="521" spans="1:26">
      <c r="A521">
        <v>506</v>
      </c>
      <c r="B521" t="s">
        <v>1296</v>
      </c>
      <c r="C521" t="s">
        <v>1297</v>
      </c>
      <c r="D521" t="s">
        <v>1298</v>
      </c>
      <c r="E521" t="s">
        <v>1261</v>
      </c>
      <c r="F521" t="s">
        <v>1299</v>
      </c>
      <c r="G521" t="s">
        <v>128</v>
      </c>
      <c r="H521" t="s">
        <v>10</v>
      </c>
      <c r="I521">
        <v>0</v>
      </c>
      <c r="J521" t="s">
        <v>505</v>
      </c>
      <c r="K521" s="9">
        <v>1.434665</v>
      </c>
      <c r="L521" s="9">
        <v>0.128404</v>
      </c>
      <c r="M521" s="9">
        <v>0.101542</v>
      </c>
      <c r="N521" t="s">
        <v>14</v>
      </c>
      <c r="O521" s="9">
        <v>0.44</v>
      </c>
      <c r="T521" s="7">
        <v>8.949999999999999</v>
      </c>
      <c r="X521" s="10" t="s">
        <v>428</v>
      </c>
      <c r="Y521" s="11" t="s">
        <v>1330</v>
      </c>
      <c r="Z521" t="s">
        <v>430</v>
      </c>
    </row>
    <row r="522" spans="1:26">
      <c r="A522">
        <v>507</v>
      </c>
      <c r="B522" t="s">
        <v>1296</v>
      </c>
      <c r="C522" t="s">
        <v>1297</v>
      </c>
      <c r="D522" t="s">
        <v>1298</v>
      </c>
      <c r="E522" t="s">
        <v>1261</v>
      </c>
      <c r="F522" t="s">
        <v>1299</v>
      </c>
      <c r="G522" t="s">
        <v>133</v>
      </c>
      <c r="H522" t="s">
        <v>10</v>
      </c>
      <c r="I522">
        <v>0</v>
      </c>
      <c r="J522" t="s">
        <v>507</v>
      </c>
      <c r="K522" s="9">
        <v>1.208809</v>
      </c>
      <c r="L522" s="9">
        <v>-0.031851</v>
      </c>
      <c r="M522" s="9">
        <v>0.101542</v>
      </c>
      <c r="N522" t="s">
        <v>14</v>
      </c>
      <c r="O522" s="9">
        <v>-0.29</v>
      </c>
      <c r="T522" s="7">
        <v>-2.63</v>
      </c>
      <c r="X522" s="10" t="s">
        <v>428</v>
      </c>
      <c r="Y522" s="11" t="s">
        <v>1331</v>
      </c>
      <c r="Z522" t="s">
        <v>430</v>
      </c>
    </row>
    <row r="523" spans="1:26">
      <c r="A523">
        <v>508</v>
      </c>
      <c r="B523" t="s">
        <v>1296</v>
      </c>
      <c r="C523" t="s">
        <v>1297</v>
      </c>
      <c r="D523" t="s">
        <v>1298</v>
      </c>
      <c r="E523" t="s">
        <v>1261</v>
      </c>
      <c r="F523" t="s">
        <v>1299</v>
      </c>
      <c r="G523" t="s">
        <v>137</v>
      </c>
      <c r="H523" t="s">
        <v>10</v>
      </c>
      <c r="I523">
        <v>0</v>
      </c>
      <c r="J523" t="s">
        <v>1256</v>
      </c>
      <c r="K523" s="9">
        <v>1.314362</v>
      </c>
      <c r="L523" s="9">
        <v>0.009908</v>
      </c>
      <c r="M523" s="9">
        <v>-0.047025</v>
      </c>
      <c r="N523" t="s">
        <v>14</v>
      </c>
      <c r="T523" s="7">
        <v>0.75</v>
      </c>
      <c r="X523" s="10" t="s">
        <v>436</v>
      </c>
      <c r="Y523" s="11" t="s">
        <v>1332</v>
      </c>
      <c r="Z523" t="s">
        <v>430</v>
      </c>
    </row>
    <row r="524" spans="1:26">
      <c r="A524">
        <v>509</v>
      </c>
      <c r="B524" t="s">
        <v>1296</v>
      </c>
      <c r="C524" t="s">
        <v>1297</v>
      </c>
      <c r="D524" t="s">
        <v>1298</v>
      </c>
      <c r="E524" t="s">
        <v>1261</v>
      </c>
      <c r="F524" t="s">
        <v>1299</v>
      </c>
      <c r="G524" t="s">
        <v>141</v>
      </c>
      <c r="H524" t="s">
        <v>10</v>
      </c>
      <c r="I524">
        <v>0</v>
      </c>
      <c r="J524" t="s">
        <v>511</v>
      </c>
      <c r="K524" s="9">
        <v>1.581378</v>
      </c>
      <c r="L524" s="9">
        <v>0.216886</v>
      </c>
      <c r="M524" s="9">
        <v>0.225196</v>
      </c>
      <c r="N524" t="s">
        <v>14</v>
      </c>
      <c r="O524" s="9">
        <v>1.19</v>
      </c>
      <c r="T524" s="7">
        <v>13.72</v>
      </c>
      <c r="X524" s="10" t="s">
        <v>428</v>
      </c>
      <c r="Y524" s="11" t="s">
        <v>1329</v>
      </c>
      <c r="Z524" t="s">
        <v>430</v>
      </c>
    </row>
    <row r="525" spans="1:26">
      <c r="A525">
        <v>510</v>
      </c>
      <c r="B525" t="s">
        <v>1296</v>
      </c>
      <c r="C525" t="s">
        <v>1297</v>
      </c>
      <c r="D525" t="s">
        <v>1298</v>
      </c>
      <c r="E525" t="s">
        <v>1261</v>
      </c>
      <c r="F525" t="s">
        <v>1299</v>
      </c>
      <c r="G525" t="s">
        <v>146</v>
      </c>
      <c r="H525" t="s">
        <v>10</v>
      </c>
      <c r="I525">
        <v>0</v>
      </c>
      <c r="J525" t="s">
        <v>505</v>
      </c>
      <c r="K525" s="9">
        <v>1.685629</v>
      </c>
      <c r="L525" s="9">
        <v>0.167988</v>
      </c>
      <c r="M525" s="9">
        <v>0.143814</v>
      </c>
      <c r="N525" t="s">
        <v>14</v>
      </c>
      <c r="O525" s="9">
        <v>0.76</v>
      </c>
      <c r="T525" s="7">
        <v>9.970000000000001</v>
      </c>
      <c r="X525" s="10" t="s">
        <v>428</v>
      </c>
      <c r="Y525" s="11" t="s">
        <v>1330</v>
      </c>
      <c r="Z525" t="s">
        <v>430</v>
      </c>
    </row>
    <row r="526" spans="1:26">
      <c r="A526">
        <v>511</v>
      </c>
      <c r="B526" t="s">
        <v>1296</v>
      </c>
      <c r="C526" t="s">
        <v>1297</v>
      </c>
      <c r="D526" t="s">
        <v>1298</v>
      </c>
      <c r="E526" t="s">
        <v>1261</v>
      </c>
      <c r="F526" t="s">
        <v>1299</v>
      </c>
      <c r="G526" t="s">
        <v>472</v>
      </c>
      <c r="H526" t="s">
        <v>10</v>
      </c>
      <c r="I526">
        <v>0</v>
      </c>
      <c r="J526" t="s">
        <v>513</v>
      </c>
      <c r="K526" s="9">
        <v>1.497879</v>
      </c>
      <c r="L526" s="9">
        <v>0.009889999999999999</v>
      </c>
      <c r="M526" s="9">
        <v>0.143814</v>
      </c>
      <c r="N526" t="s">
        <v>14</v>
      </c>
      <c r="O526" s="9">
        <v>-0.11</v>
      </c>
      <c r="T526" s="7">
        <v>0.66</v>
      </c>
      <c r="X526" s="10" t="s">
        <v>428</v>
      </c>
      <c r="Y526" s="11" t="s">
        <v>1333</v>
      </c>
      <c r="Z526" t="s">
        <v>430</v>
      </c>
    </row>
    <row r="527" spans="1:26">
      <c r="A527">
        <v>512</v>
      </c>
      <c r="B527" t="s">
        <v>1296</v>
      </c>
      <c r="C527" t="s">
        <v>1297</v>
      </c>
      <c r="D527" t="s">
        <v>1298</v>
      </c>
      <c r="E527" t="s">
        <v>1261</v>
      </c>
      <c r="F527" t="s">
        <v>1299</v>
      </c>
      <c r="G527" t="s">
        <v>475</v>
      </c>
      <c r="H527" t="s">
        <v>10</v>
      </c>
      <c r="I527">
        <v>0</v>
      </c>
      <c r="J527" t="s">
        <v>1256</v>
      </c>
      <c r="K527" s="9">
        <v>1.529436</v>
      </c>
      <c r="L527" s="9">
        <v>-0.063416</v>
      </c>
      <c r="M527" s="9">
        <v>-0.098111</v>
      </c>
      <c r="N527" t="s">
        <v>14</v>
      </c>
      <c r="T527" s="7">
        <v>-4.15</v>
      </c>
      <c r="X527" s="10" t="s">
        <v>436</v>
      </c>
      <c r="Y527" s="11" t="s">
        <v>1332</v>
      </c>
      <c r="Z527" t="s">
        <v>430</v>
      </c>
    </row>
    <row r="528" spans="1:26">
      <c r="A528">
        <v>553</v>
      </c>
      <c r="B528" t="s">
        <v>1334</v>
      </c>
      <c r="C528" t="s">
        <v>1335</v>
      </c>
      <c r="D528" t="s">
        <v>1336</v>
      </c>
      <c r="E528" t="s">
        <v>1261</v>
      </c>
      <c r="F528" t="s">
        <v>1337</v>
      </c>
      <c r="G528" t="s">
        <v>50</v>
      </c>
      <c r="H528" t="s">
        <v>10</v>
      </c>
      <c r="I528">
        <v>0</v>
      </c>
      <c r="J528" t="s">
        <v>1338</v>
      </c>
      <c r="K528" s="9">
        <v>0.693641</v>
      </c>
      <c r="L528" s="9">
        <v>-0.095996</v>
      </c>
      <c r="M528" s="9">
        <v>-0.113033</v>
      </c>
      <c r="N528" t="s">
        <v>14</v>
      </c>
      <c r="O528" s="9">
        <v>-0.17</v>
      </c>
      <c r="S528" s="7">
        <v>47.13</v>
      </c>
      <c r="T528" s="7">
        <v>-13.84</v>
      </c>
      <c r="X528" s="10" t="s">
        <v>428</v>
      </c>
      <c r="Y528" s="11" t="s">
        <v>1339</v>
      </c>
      <c r="Z528" t="s">
        <v>430</v>
      </c>
    </row>
    <row r="529" spans="1:26">
      <c r="A529">
        <v>554</v>
      </c>
      <c r="B529" t="s">
        <v>1334</v>
      </c>
      <c r="C529" t="s">
        <v>1335</v>
      </c>
      <c r="D529" t="s">
        <v>1336</v>
      </c>
      <c r="E529" t="s">
        <v>1261</v>
      </c>
      <c r="F529" t="s">
        <v>1337</v>
      </c>
      <c r="G529" t="s">
        <v>57</v>
      </c>
      <c r="H529" t="s">
        <v>10</v>
      </c>
      <c r="I529">
        <v>0</v>
      </c>
      <c r="J529" t="s">
        <v>1340</v>
      </c>
      <c r="K529" s="9">
        <v>0.727297</v>
      </c>
      <c r="L529" s="9">
        <v>-0.151267</v>
      </c>
      <c r="M529" s="9">
        <v>-0.157893</v>
      </c>
      <c r="N529" t="s">
        <v>14</v>
      </c>
      <c r="O529" s="9">
        <v>-0.24</v>
      </c>
      <c r="S529" s="7">
        <v>49.4</v>
      </c>
      <c r="T529" s="7">
        <v>-20.8</v>
      </c>
      <c r="X529" s="10" t="s">
        <v>428</v>
      </c>
      <c r="Y529" s="11" t="s">
        <v>1341</v>
      </c>
      <c r="Z529" t="s">
        <v>430</v>
      </c>
    </row>
    <row r="530" spans="1:26">
      <c r="A530">
        <v>555</v>
      </c>
      <c r="B530" t="s">
        <v>1334</v>
      </c>
      <c r="C530" t="s">
        <v>1335</v>
      </c>
      <c r="D530" t="s">
        <v>1336</v>
      </c>
      <c r="E530" t="s">
        <v>1261</v>
      </c>
      <c r="F530" t="s">
        <v>1337</v>
      </c>
      <c r="G530" t="s">
        <v>62</v>
      </c>
      <c r="H530" t="s">
        <v>10</v>
      </c>
      <c r="I530">
        <v>0</v>
      </c>
      <c r="J530" t="s">
        <v>1342</v>
      </c>
      <c r="K530" s="9">
        <v>0.750143</v>
      </c>
      <c r="L530" s="9">
        <v>-0.009390000000000001</v>
      </c>
      <c r="M530" s="9">
        <v>-0.022908</v>
      </c>
      <c r="N530" t="s">
        <v>14</v>
      </c>
      <c r="O530" s="9">
        <v>-0.03</v>
      </c>
      <c r="S530" s="7">
        <v>50.8</v>
      </c>
      <c r="T530" s="7">
        <v>-1.25</v>
      </c>
      <c r="X530" s="10" t="s">
        <v>428</v>
      </c>
      <c r="Y530" s="11" t="s">
        <v>1343</v>
      </c>
      <c r="Z530" t="s">
        <v>430</v>
      </c>
    </row>
    <row r="531" spans="1:26">
      <c r="A531">
        <v>556</v>
      </c>
      <c r="B531" t="s">
        <v>1334</v>
      </c>
      <c r="C531" t="s">
        <v>1335</v>
      </c>
      <c r="D531" t="s">
        <v>1336</v>
      </c>
      <c r="E531" t="s">
        <v>1261</v>
      </c>
      <c r="F531" t="s">
        <v>1337</v>
      </c>
      <c r="G531" t="s">
        <v>71</v>
      </c>
      <c r="H531" t="s">
        <v>10</v>
      </c>
      <c r="I531">
        <v>0</v>
      </c>
      <c r="J531" t="s">
        <v>1344</v>
      </c>
      <c r="K531" s="9">
        <v>0.8323</v>
      </c>
      <c r="L531" s="9">
        <v>-0.0823</v>
      </c>
      <c r="M531" s="9">
        <v>-0.0882</v>
      </c>
      <c r="N531" t="s">
        <v>14</v>
      </c>
      <c r="O531" s="9">
        <v>-0.13</v>
      </c>
      <c r="S531" s="7">
        <v>50.25</v>
      </c>
      <c r="T531" s="7">
        <v>-9.890000000000001</v>
      </c>
      <c r="X531" s="10" t="s">
        <v>428</v>
      </c>
      <c r="Y531" s="11" t="s">
        <v>1345</v>
      </c>
      <c r="Z531" t="s">
        <v>430</v>
      </c>
    </row>
    <row r="532" spans="1:26">
      <c r="A532">
        <v>557</v>
      </c>
      <c r="B532" t="s">
        <v>1334</v>
      </c>
      <c r="C532" t="s">
        <v>1335</v>
      </c>
      <c r="D532" t="s">
        <v>1336</v>
      </c>
      <c r="E532" t="s">
        <v>1261</v>
      </c>
      <c r="F532" t="s">
        <v>1337</v>
      </c>
      <c r="G532" t="s">
        <v>75</v>
      </c>
      <c r="H532" t="s">
        <v>10</v>
      </c>
      <c r="I532">
        <v>0</v>
      </c>
      <c r="J532" t="s">
        <v>1346</v>
      </c>
      <c r="K532" s="9">
        <v>1.0759</v>
      </c>
      <c r="L532" s="9">
        <v>-0.2667</v>
      </c>
      <c r="M532" s="9">
        <v>-0.2764</v>
      </c>
      <c r="N532" t="s">
        <v>14</v>
      </c>
      <c r="O532" s="9">
        <v>-0.34</v>
      </c>
      <c r="S532" s="7">
        <v>34.56</v>
      </c>
      <c r="T532" s="7">
        <v>-24.79</v>
      </c>
      <c r="X532" s="10" t="s">
        <v>428</v>
      </c>
      <c r="Y532" s="11" t="s">
        <v>1347</v>
      </c>
      <c r="Z532" t="s">
        <v>430</v>
      </c>
    </row>
    <row r="533" spans="1:26">
      <c r="A533">
        <v>558</v>
      </c>
      <c r="B533" t="s">
        <v>1334</v>
      </c>
      <c r="C533" t="s">
        <v>1335</v>
      </c>
      <c r="D533" t="s">
        <v>1336</v>
      </c>
      <c r="E533" t="s">
        <v>1261</v>
      </c>
      <c r="F533" t="s">
        <v>1337</v>
      </c>
      <c r="G533" t="s">
        <v>80</v>
      </c>
      <c r="H533" t="s">
        <v>10</v>
      </c>
      <c r="I533">
        <v>0</v>
      </c>
      <c r="J533" t="s">
        <v>1348</v>
      </c>
      <c r="K533" s="9">
        <v>1.2112</v>
      </c>
      <c r="L533" s="9">
        <v>-0.0334</v>
      </c>
      <c r="M533" s="9">
        <v>-0.0626</v>
      </c>
      <c r="N533" t="s">
        <v>14</v>
      </c>
      <c r="O533" s="9">
        <v>-0.08</v>
      </c>
      <c r="S533" s="7">
        <v>48.53</v>
      </c>
      <c r="T533" s="7">
        <v>-2.76</v>
      </c>
      <c r="X533" s="10" t="s">
        <v>428</v>
      </c>
      <c r="Y533" s="11" t="s">
        <v>1349</v>
      </c>
      <c r="Z533" t="s">
        <v>430</v>
      </c>
    </row>
    <row r="534" spans="1:26">
      <c r="A534">
        <v>559</v>
      </c>
      <c r="B534" t="s">
        <v>1334</v>
      </c>
      <c r="C534" t="s">
        <v>1335</v>
      </c>
      <c r="D534" t="s">
        <v>1336</v>
      </c>
      <c r="E534" t="s">
        <v>1261</v>
      </c>
      <c r="F534" t="s">
        <v>1337</v>
      </c>
      <c r="G534" t="s">
        <v>85</v>
      </c>
      <c r="H534" t="s">
        <v>10</v>
      </c>
      <c r="I534">
        <v>0</v>
      </c>
      <c r="J534" t="s">
        <v>1350</v>
      </c>
      <c r="K534" s="9">
        <v>0.7978189999999999</v>
      </c>
      <c r="L534" s="9">
        <v>-0.001747</v>
      </c>
      <c r="M534" s="9">
        <v>0.016534</v>
      </c>
      <c r="N534" t="s">
        <v>14</v>
      </c>
      <c r="S534" s="7">
        <v>52.78</v>
      </c>
      <c r="T534" s="7">
        <v>-0.22</v>
      </c>
      <c r="X534" s="10" t="s">
        <v>483</v>
      </c>
      <c r="Y534" s="11" t="s">
        <v>1351</v>
      </c>
      <c r="Z534" t="s">
        <v>430</v>
      </c>
    </row>
    <row r="535" spans="1:26">
      <c r="A535">
        <v>560</v>
      </c>
      <c r="B535" t="s">
        <v>1334</v>
      </c>
      <c r="C535" t="s">
        <v>1335</v>
      </c>
      <c r="D535" t="s">
        <v>1336</v>
      </c>
      <c r="E535" t="s">
        <v>1261</v>
      </c>
      <c r="F535" t="s">
        <v>1337</v>
      </c>
      <c r="G535" t="s">
        <v>89</v>
      </c>
      <c r="H535" t="s">
        <v>10</v>
      </c>
      <c r="I535">
        <v>0</v>
      </c>
      <c r="J535" t="s">
        <v>787</v>
      </c>
      <c r="K535" s="9">
        <v>1.4469</v>
      </c>
      <c r="L535" s="9">
        <v>0.0698</v>
      </c>
      <c r="M535" s="9">
        <v>-0.1657</v>
      </c>
      <c r="N535" t="s">
        <v>14</v>
      </c>
      <c r="O535" s="9">
        <v>-0.2</v>
      </c>
      <c r="S535" s="7">
        <v>51.9</v>
      </c>
      <c r="T535" s="7">
        <v>4.82</v>
      </c>
      <c r="X535" s="10" t="s">
        <v>428</v>
      </c>
      <c r="Y535" s="11" t="s">
        <v>1352</v>
      </c>
      <c r="Z535" t="s">
        <v>430</v>
      </c>
    </row>
    <row r="536" spans="1:26">
      <c r="A536">
        <v>561</v>
      </c>
      <c r="B536" t="s">
        <v>1334</v>
      </c>
      <c r="C536" t="s">
        <v>1335</v>
      </c>
      <c r="D536" t="s">
        <v>1336</v>
      </c>
      <c r="E536" t="s">
        <v>1261</v>
      </c>
      <c r="F536" t="s">
        <v>1337</v>
      </c>
      <c r="G536" t="s">
        <v>93</v>
      </c>
      <c r="H536" t="s">
        <v>10</v>
      </c>
      <c r="I536">
        <v>0</v>
      </c>
      <c r="J536" t="s">
        <v>1353</v>
      </c>
      <c r="K536" s="9">
        <v>1.5169</v>
      </c>
      <c r="L536" s="9">
        <v>0.0391</v>
      </c>
      <c r="M536" s="9">
        <v>0.0043</v>
      </c>
      <c r="N536" t="s">
        <v>14</v>
      </c>
      <c r="O536" s="9">
        <v>0.01</v>
      </c>
      <c r="S536" s="7">
        <v>51.82</v>
      </c>
      <c r="T536" s="7">
        <v>2.58</v>
      </c>
      <c r="X536" s="10" t="s">
        <v>428</v>
      </c>
      <c r="Y536" s="11" t="s">
        <v>1354</v>
      </c>
      <c r="Z536" t="s">
        <v>430</v>
      </c>
    </row>
    <row r="537" spans="1:26">
      <c r="A537">
        <v>562</v>
      </c>
      <c r="B537" t="s">
        <v>1334</v>
      </c>
      <c r="C537" t="s">
        <v>1335</v>
      </c>
      <c r="D537" t="s">
        <v>1336</v>
      </c>
      <c r="E537" t="s">
        <v>1261</v>
      </c>
      <c r="F537" t="s">
        <v>1337</v>
      </c>
      <c r="G537" t="s">
        <v>98</v>
      </c>
      <c r="H537" t="s">
        <v>10</v>
      </c>
      <c r="I537">
        <v>0</v>
      </c>
      <c r="J537" t="s">
        <v>1355</v>
      </c>
      <c r="K537" s="9">
        <v>1.5373</v>
      </c>
      <c r="L537" s="9">
        <v>0.1058</v>
      </c>
      <c r="M537" s="9">
        <v>0.0133</v>
      </c>
      <c r="N537" t="s">
        <v>14</v>
      </c>
      <c r="O537" s="9">
        <v>0.02</v>
      </c>
      <c r="S537" s="7">
        <v>50.56</v>
      </c>
      <c r="T537" s="7">
        <v>6.88</v>
      </c>
      <c r="X537" s="10" t="s">
        <v>428</v>
      </c>
      <c r="Y537" s="11" t="s">
        <v>1356</v>
      </c>
      <c r="Z537" t="s">
        <v>430</v>
      </c>
    </row>
    <row r="538" spans="1:26">
      <c r="A538">
        <v>563</v>
      </c>
      <c r="B538" t="s">
        <v>1334</v>
      </c>
      <c r="C538" t="s">
        <v>1335</v>
      </c>
      <c r="D538" t="s">
        <v>1336</v>
      </c>
      <c r="E538" t="s">
        <v>1261</v>
      </c>
      <c r="F538" t="s">
        <v>1337</v>
      </c>
      <c r="G538" t="s">
        <v>103</v>
      </c>
      <c r="H538" t="s">
        <v>10</v>
      </c>
      <c r="I538">
        <v>0</v>
      </c>
      <c r="J538" t="s">
        <v>1357</v>
      </c>
      <c r="K538" s="9">
        <v>1.343</v>
      </c>
      <c r="L538" s="9">
        <v>0.0347</v>
      </c>
      <c r="M538" s="9">
        <v>0.0062</v>
      </c>
      <c r="N538" t="s">
        <v>14</v>
      </c>
      <c r="S538" s="7">
        <v>51.11</v>
      </c>
      <c r="T538" s="7">
        <v>2.58</v>
      </c>
      <c r="X538" s="10" t="s">
        <v>483</v>
      </c>
      <c r="Y538" s="11" t="s">
        <v>1358</v>
      </c>
      <c r="Z538" t="s">
        <v>430</v>
      </c>
    </row>
    <row r="539" spans="1:26">
      <c r="A539">
        <v>564</v>
      </c>
      <c r="B539" t="s">
        <v>1334</v>
      </c>
      <c r="C539" t="s">
        <v>1335</v>
      </c>
      <c r="D539" t="s">
        <v>1336</v>
      </c>
      <c r="E539" t="s">
        <v>1261</v>
      </c>
      <c r="F539" t="s">
        <v>1337</v>
      </c>
      <c r="G539" t="s">
        <v>107</v>
      </c>
      <c r="H539" t="s">
        <v>10</v>
      </c>
      <c r="I539">
        <v>0</v>
      </c>
      <c r="J539" t="s">
        <v>1359</v>
      </c>
      <c r="K539" s="9">
        <v>1.3217</v>
      </c>
      <c r="L539" s="9">
        <v>-0.1824</v>
      </c>
      <c r="M539" s="9">
        <v>-0.1689</v>
      </c>
      <c r="N539" t="s">
        <v>14</v>
      </c>
      <c r="O539" s="9">
        <v>-0.2</v>
      </c>
      <c r="S539" s="7">
        <v>42.16</v>
      </c>
      <c r="T539" s="7">
        <v>-13.8</v>
      </c>
      <c r="X539" s="10" t="s">
        <v>428</v>
      </c>
      <c r="Y539" s="11" t="s">
        <v>1360</v>
      </c>
      <c r="Z539" t="s">
        <v>430</v>
      </c>
    </row>
    <row r="540" spans="1:26">
      <c r="A540">
        <v>565</v>
      </c>
      <c r="B540" t="s">
        <v>1334</v>
      </c>
      <c r="C540" t="s">
        <v>1335</v>
      </c>
      <c r="D540" t="s">
        <v>1336</v>
      </c>
      <c r="E540" t="s">
        <v>1261</v>
      </c>
      <c r="F540" t="s">
        <v>1337</v>
      </c>
      <c r="G540" t="s">
        <v>112</v>
      </c>
      <c r="H540" t="s">
        <v>10</v>
      </c>
      <c r="I540">
        <v>0</v>
      </c>
      <c r="J540" t="s">
        <v>1361</v>
      </c>
      <c r="K540" s="9">
        <v>1.3409</v>
      </c>
      <c r="L540" s="9">
        <v>-0.2057</v>
      </c>
      <c r="M540" s="9">
        <v>-0.2075</v>
      </c>
      <c r="N540" t="s">
        <v>14</v>
      </c>
      <c r="O540" s="9">
        <v>-0.24</v>
      </c>
      <c r="S540" s="7">
        <v>38.86</v>
      </c>
      <c r="T540" s="7">
        <v>-15.34</v>
      </c>
      <c r="X540" s="10" t="s">
        <v>428</v>
      </c>
      <c r="Y540" s="11" t="s">
        <v>1362</v>
      </c>
      <c r="Z540" t="s">
        <v>430</v>
      </c>
    </row>
    <row r="541" spans="1:26">
      <c r="A541">
        <v>566</v>
      </c>
      <c r="B541" t="s">
        <v>1334</v>
      </c>
      <c r="C541" t="s">
        <v>1335</v>
      </c>
      <c r="D541" t="s">
        <v>1336</v>
      </c>
      <c r="E541" t="s">
        <v>1261</v>
      </c>
      <c r="F541" t="s">
        <v>1337</v>
      </c>
      <c r="G541" t="s">
        <v>116</v>
      </c>
      <c r="H541" t="s">
        <v>10</v>
      </c>
      <c r="I541">
        <v>0</v>
      </c>
      <c r="J541" t="s">
        <v>1363</v>
      </c>
      <c r="K541" s="9">
        <v>1.4186</v>
      </c>
      <c r="L541" s="9">
        <v>-0.1463</v>
      </c>
      <c r="M541" s="9">
        <v>-0.1643</v>
      </c>
      <c r="N541" t="s">
        <v>14</v>
      </c>
      <c r="O541" s="9">
        <v>-0.19</v>
      </c>
      <c r="S541" s="7">
        <v>38.86</v>
      </c>
      <c r="T541" s="7">
        <v>-10.31</v>
      </c>
      <c r="X541" s="10" t="s">
        <v>428</v>
      </c>
      <c r="Y541" s="11" t="s">
        <v>1364</v>
      </c>
      <c r="Z541" t="s">
        <v>430</v>
      </c>
    </row>
    <row r="542" spans="1:26">
      <c r="A542">
        <v>567</v>
      </c>
      <c r="B542" t="s">
        <v>1334</v>
      </c>
      <c r="C542" t="s">
        <v>1335</v>
      </c>
      <c r="D542" t="s">
        <v>1336</v>
      </c>
      <c r="E542" t="s">
        <v>1261</v>
      </c>
      <c r="F542" t="s">
        <v>1337</v>
      </c>
      <c r="G542" t="s">
        <v>120</v>
      </c>
      <c r="H542" t="s">
        <v>10</v>
      </c>
      <c r="I542">
        <v>0</v>
      </c>
      <c r="J542" t="s">
        <v>571</v>
      </c>
      <c r="K542" s="9">
        <v>1.4185</v>
      </c>
      <c r="L542" s="9">
        <v>0.0233</v>
      </c>
      <c r="M542" s="9">
        <v>-0.0154</v>
      </c>
      <c r="N542" t="s">
        <v>14</v>
      </c>
      <c r="S542" s="7">
        <v>47.47</v>
      </c>
      <c r="T542" s="7">
        <v>1.64</v>
      </c>
      <c r="X542" s="10" t="s">
        <v>483</v>
      </c>
      <c r="Y542" s="11" t="s">
        <v>1365</v>
      </c>
      <c r="Z542" t="s">
        <v>430</v>
      </c>
    </row>
    <row r="543" spans="1:26">
      <c r="A543">
        <v>568</v>
      </c>
      <c r="B543" t="s">
        <v>1334</v>
      </c>
      <c r="C543" t="s">
        <v>1335</v>
      </c>
      <c r="D543" t="s">
        <v>1336</v>
      </c>
      <c r="E543" t="s">
        <v>1261</v>
      </c>
      <c r="F543" t="s">
        <v>1337</v>
      </c>
      <c r="G543" t="s">
        <v>124</v>
      </c>
      <c r="H543" t="s">
        <v>10</v>
      </c>
      <c r="I543">
        <v>0</v>
      </c>
      <c r="J543" t="s">
        <v>1366</v>
      </c>
      <c r="K543" s="9">
        <v>1.1609</v>
      </c>
      <c r="L543" s="9">
        <v>-0.1523</v>
      </c>
      <c r="M543" s="9">
        <v>-0.2156</v>
      </c>
      <c r="N543" t="s">
        <v>14</v>
      </c>
      <c r="O543" s="9">
        <v>-0.25</v>
      </c>
      <c r="S543" s="7">
        <v>45.46</v>
      </c>
      <c r="T543" s="7">
        <v>-13.12</v>
      </c>
      <c r="X543" s="10" t="s">
        <v>428</v>
      </c>
      <c r="Y543" s="11" t="s">
        <v>1367</v>
      </c>
      <c r="Z543" t="s">
        <v>430</v>
      </c>
    </row>
    <row r="544" spans="1:26">
      <c r="A544">
        <v>569</v>
      </c>
      <c r="B544" t="s">
        <v>1334</v>
      </c>
      <c r="C544" t="s">
        <v>1335</v>
      </c>
      <c r="D544" t="s">
        <v>1336</v>
      </c>
      <c r="E544" t="s">
        <v>1261</v>
      </c>
      <c r="F544" t="s">
        <v>1337</v>
      </c>
      <c r="G544" t="s">
        <v>128</v>
      </c>
      <c r="H544" t="s">
        <v>10</v>
      </c>
      <c r="I544">
        <v>0</v>
      </c>
      <c r="J544" t="s">
        <v>1368</v>
      </c>
      <c r="K544" s="9">
        <v>1.2729</v>
      </c>
      <c r="L544" s="9">
        <v>-0.1004</v>
      </c>
      <c r="M544" s="9">
        <v>-0.1933</v>
      </c>
      <c r="N544" t="s">
        <v>14</v>
      </c>
      <c r="O544" s="9">
        <v>-0.22</v>
      </c>
      <c r="S544" s="7">
        <v>46.16</v>
      </c>
      <c r="T544" s="7">
        <v>-7.89</v>
      </c>
      <c r="X544" s="10" t="s">
        <v>428</v>
      </c>
      <c r="Y544" s="11" t="s">
        <v>1369</v>
      </c>
      <c r="Z544" t="s">
        <v>430</v>
      </c>
    </row>
    <row r="545" spans="1:26">
      <c r="A545">
        <v>570</v>
      </c>
      <c r="B545" t="s">
        <v>1334</v>
      </c>
      <c r="C545" t="s">
        <v>1335</v>
      </c>
      <c r="D545" t="s">
        <v>1336</v>
      </c>
      <c r="E545" t="s">
        <v>1261</v>
      </c>
      <c r="F545" t="s">
        <v>1337</v>
      </c>
      <c r="G545" t="s">
        <v>133</v>
      </c>
      <c r="H545" t="s">
        <v>10</v>
      </c>
      <c r="I545">
        <v>0</v>
      </c>
      <c r="J545" t="s">
        <v>1370</v>
      </c>
      <c r="K545" s="9">
        <v>1.5161</v>
      </c>
      <c r="L545" s="9">
        <v>-0.7028</v>
      </c>
      <c r="M545" s="9">
        <v>-0.6763</v>
      </c>
      <c r="N545" t="s">
        <v>14</v>
      </c>
      <c r="O545" s="9">
        <v>-0.78</v>
      </c>
      <c r="S545" s="7">
        <v>23.05</v>
      </c>
      <c r="T545" s="7">
        <v>-46.36</v>
      </c>
      <c r="X545" s="10" t="s">
        <v>428</v>
      </c>
      <c r="Y545" s="11" t="s">
        <v>1371</v>
      </c>
      <c r="Z545" t="s">
        <v>430</v>
      </c>
    </row>
    <row r="546" spans="1:26">
      <c r="A546">
        <v>571</v>
      </c>
      <c r="B546" t="s">
        <v>1334</v>
      </c>
      <c r="C546" t="s">
        <v>1335</v>
      </c>
      <c r="D546" t="s">
        <v>1336</v>
      </c>
      <c r="E546" t="s">
        <v>1261</v>
      </c>
      <c r="F546" t="s">
        <v>1337</v>
      </c>
      <c r="G546" t="s">
        <v>137</v>
      </c>
      <c r="H546" t="s">
        <v>10</v>
      </c>
      <c r="I546">
        <v>0</v>
      </c>
      <c r="J546" t="s">
        <v>473</v>
      </c>
      <c r="K546" s="9">
        <v>1.4265</v>
      </c>
      <c r="L546" s="9">
        <v>-0.0333</v>
      </c>
      <c r="M546" s="9">
        <v>-0.3927</v>
      </c>
      <c r="N546" t="s">
        <v>14</v>
      </c>
      <c r="S546" s="7">
        <v>46.55</v>
      </c>
      <c r="T546" s="7">
        <v>-2.33</v>
      </c>
      <c r="X546" s="10" t="s">
        <v>483</v>
      </c>
      <c r="Y546" s="11" t="s">
        <v>1372</v>
      </c>
      <c r="Z546" t="s">
        <v>430</v>
      </c>
    </row>
    <row r="547" spans="1:26">
      <c r="A547">
        <v>572</v>
      </c>
      <c r="B547" t="s">
        <v>1334</v>
      </c>
      <c r="C547" t="s">
        <v>1335</v>
      </c>
      <c r="D547" t="s">
        <v>1336</v>
      </c>
      <c r="E547" t="s">
        <v>1261</v>
      </c>
      <c r="F547" t="s">
        <v>1337</v>
      </c>
      <c r="G547" t="s">
        <v>141</v>
      </c>
      <c r="H547" t="s">
        <v>10</v>
      </c>
      <c r="I547">
        <v>0</v>
      </c>
      <c r="J547" t="s">
        <v>717</v>
      </c>
      <c r="K547" s="9">
        <v>1.8953</v>
      </c>
      <c r="L547" s="9">
        <v>0.2706</v>
      </c>
      <c r="M547" s="9">
        <v>0.1779</v>
      </c>
      <c r="N547" t="s">
        <v>14</v>
      </c>
      <c r="O547" s="9">
        <v>0.2</v>
      </c>
      <c r="S547" s="7">
        <v>50.25</v>
      </c>
      <c r="T547" s="7">
        <v>14.28</v>
      </c>
      <c r="X547" s="10" t="s">
        <v>428</v>
      </c>
      <c r="Y547" s="11" t="s">
        <v>1373</v>
      </c>
      <c r="Z547" t="s">
        <v>430</v>
      </c>
    </row>
    <row r="548" spans="1:26">
      <c r="A548">
        <v>573</v>
      </c>
      <c r="B548" t="s">
        <v>1334</v>
      </c>
      <c r="C548" t="s">
        <v>1335</v>
      </c>
      <c r="D548" t="s">
        <v>1336</v>
      </c>
      <c r="E548" t="s">
        <v>1261</v>
      </c>
      <c r="F548" t="s">
        <v>1337</v>
      </c>
      <c r="G548" t="s">
        <v>146</v>
      </c>
      <c r="H548" t="s">
        <v>10</v>
      </c>
      <c r="I548">
        <v>0</v>
      </c>
      <c r="J548" t="s">
        <v>1374</v>
      </c>
      <c r="K548" s="9">
        <v>2.0061</v>
      </c>
      <c r="L548" s="9">
        <v>0.2901</v>
      </c>
      <c r="M548" s="9">
        <v>0.1948</v>
      </c>
      <c r="N548" t="s">
        <v>14</v>
      </c>
      <c r="O548" s="9">
        <v>0.22</v>
      </c>
      <c r="S548" s="7">
        <v>50.38</v>
      </c>
      <c r="T548" s="7">
        <v>14.46</v>
      </c>
      <c r="X548" s="10" t="s">
        <v>428</v>
      </c>
      <c r="Y548" s="11" t="s">
        <v>1375</v>
      </c>
      <c r="Z548" t="s">
        <v>430</v>
      </c>
    </row>
    <row r="549" spans="1:26">
      <c r="A549">
        <v>574</v>
      </c>
      <c r="B549" t="s">
        <v>1334</v>
      </c>
      <c r="C549" t="s">
        <v>1335</v>
      </c>
      <c r="D549" t="s">
        <v>1336</v>
      </c>
      <c r="E549" t="s">
        <v>1261</v>
      </c>
      <c r="F549" t="s">
        <v>1337</v>
      </c>
      <c r="G549" t="s">
        <v>472</v>
      </c>
      <c r="H549" t="s">
        <v>10</v>
      </c>
      <c r="I549">
        <v>0</v>
      </c>
      <c r="J549" t="s">
        <v>1370</v>
      </c>
      <c r="K549" s="9">
        <v>2.0745</v>
      </c>
      <c r="L549" s="9">
        <v>0.3578</v>
      </c>
      <c r="M549" s="9">
        <v>1.9013</v>
      </c>
      <c r="N549" t="s">
        <v>14</v>
      </c>
      <c r="O549" s="9">
        <v>2.2</v>
      </c>
      <c r="S549" s="7">
        <v>51.57</v>
      </c>
      <c r="T549" s="7">
        <v>17.25</v>
      </c>
      <c r="X549" s="10" t="s">
        <v>428</v>
      </c>
      <c r="Y549" s="11" t="s">
        <v>1371</v>
      </c>
      <c r="Z549" t="s">
        <v>430</v>
      </c>
    </row>
    <row r="550" spans="1:26">
      <c r="A550">
        <v>575</v>
      </c>
      <c r="B550" t="s">
        <v>1334</v>
      </c>
      <c r="C550" t="s">
        <v>1335</v>
      </c>
      <c r="D550" t="s">
        <v>1336</v>
      </c>
      <c r="E550" t="s">
        <v>1261</v>
      </c>
      <c r="F550" t="s">
        <v>1337</v>
      </c>
      <c r="G550" t="s">
        <v>475</v>
      </c>
      <c r="H550" t="s">
        <v>10</v>
      </c>
      <c r="I550">
        <v>0</v>
      </c>
      <c r="J550" t="s">
        <v>473</v>
      </c>
      <c r="K550" s="9">
        <v>1.8174</v>
      </c>
      <c r="L550" s="9">
        <v>0.2352</v>
      </c>
      <c r="M550" s="9">
        <v>0.2002</v>
      </c>
      <c r="N550" t="s">
        <v>14</v>
      </c>
      <c r="S550" s="7">
        <v>50.48</v>
      </c>
      <c r="T550" s="7">
        <v>12.94</v>
      </c>
      <c r="X550" s="10" t="s">
        <v>483</v>
      </c>
      <c r="Y550" s="11" t="s">
        <v>1372</v>
      </c>
      <c r="Z550" t="s">
        <v>430</v>
      </c>
    </row>
    <row r="551" spans="1:26">
      <c r="A551">
        <v>576</v>
      </c>
      <c r="B551" t="s">
        <v>1334</v>
      </c>
      <c r="C551" t="s">
        <v>1335</v>
      </c>
      <c r="D551" t="s">
        <v>1336</v>
      </c>
      <c r="E551" t="s">
        <v>1261</v>
      </c>
      <c r="F551" t="s">
        <v>1337</v>
      </c>
      <c r="G551" t="s">
        <v>150</v>
      </c>
      <c r="H551" t="s">
        <v>10</v>
      </c>
      <c r="I551">
        <v>0</v>
      </c>
      <c r="J551" t="s">
        <v>717</v>
      </c>
      <c r="K551" s="9">
        <v>2.4178</v>
      </c>
      <c r="L551" s="9">
        <v>0.3394</v>
      </c>
      <c r="M551" s="9">
        <v>0.0345</v>
      </c>
      <c r="N551" t="s">
        <v>14</v>
      </c>
      <c r="O551" s="9">
        <v>0.04</v>
      </c>
      <c r="S551" s="7">
        <v>52.15</v>
      </c>
      <c r="T551" s="7">
        <v>14.04</v>
      </c>
      <c r="X551" s="10" t="s">
        <v>428</v>
      </c>
      <c r="Y551" s="11" t="s">
        <v>1373</v>
      </c>
      <c r="Z551" t="s">
        <v>430</v>
      </c>
    </row>
    <row r="552" spans="1:26">
      <c r="A552">
        <v>577</v>
      </c>
      <c r="B552" t="s">
        <v>1334</v>
      </c>
      <c r="C552" t="s">
        <v>1335</v>
      </c>
      <c r="D552" t="s">
        <v>1336</v>
      </c>
      <c r="E552" t="s">
        <v>1261</v>
      </c>
      <c r="F552" t="s">
        <v>1337</v>
      </c>
      <c r="G552" t="s">
        <v>155</v>
      </c>
      <c r="H552" t="s">
        <v>10</v>
      </c>
      <c r="I552">
        <v>0</v>
      </c>
      <c r="J552" t="s">
        <v>1374</v>
      </c>
      <c r="K552" s="9">
        <v>2.7393</v>
      </c>
      <c r="L552" s="9">
        <v>0.4597</v>
      </c>
      <c r="M552" s="9">
        <v>0.308</v>
      </c>
      <c r="N552" t="s">
        <v>14</v>
      </c>
      <c r="O552" s="9">
        <v>0.33</v>
      </c>
      <c r="S552" s="7">
        <v>53.14</v>
      </c>
      <c r="T552" s="7">
        <v>16.78</v>
      </c>
      <c r="X552" s="10" t="s">
        <v>428</v>
      </c>
      <c r="Y552" s="11" t="s">
        <v>1375</v>
      </c>
      <c r="Z552" t="s">
        <v>430</v>
      </c>
    </row>
    <row r="553" spans="1:26">
      <c r="A553">
        <v>438</v>
      </c>
      <c r="B553" t="s">
        <v>1376</v>
      </c>
      <c r="C553" t="s">
        <v>1377</v>
      </c>
      <c r="D553" t="s">
        <v>1378</v>
      </c>
      <c r="E553" t="s">
        <v>1379</v>
      </c>
      <c r="F553" t="s">
        <v>1380</v>
      </c>
      <c r="G553" t="s">
        <v>50</v>
      </c>
      <c r="H553" t="s">
        <v>10</v>
      </c>
      <c r="I553">
        <v>0</v>
      </c>
      <c r="J553" t="s">
        <v>825</v>
      </c>
      <c r="K553" s="9">
        <v>111.439</v>
      </c>
      <c r="L553" s="9">
        <v>33.534</v>
      </c>
      <c r="M553" s="9">
        <v>28.755</v>
      </c>
      <c r="N553" t="s">
        <v>14</v>
      </c>
      <c r="O553" s="9">
        <v>1.68</v>
      </c>
      <c r="S553" s="7">
        <v>39.78</v>
      </c>
      <c r="T553" s="7">
        <v>30.09</v>
      </c>
      <c r="X553" s="10" t="s">
        <v>428</v>
      </c>
      <c r="Y553" s="11" t="s">
        <v>1381</v>
      </c>
      <c r="Z553" t="s">
        <v>430</v>
      </c>
    </row>
    <row r="554" spans="1:26">
      <c r="A554">
        <v>439</v>
      </c>
      <c r="B554" t="s">
        <v>1376</v>
      </c>
      <c r="C554" t="s">
        <v>1377</v>
      </c>
      <c r="D554" t="s">
        <v>1378</v>
      </c>
      <c r="E554" t="s">
        <v>1379</v>
      </c>
      <c r="F554" t="s">
        <v>1380</v>
      </c>
      <c r="G554" t="s">
        <v>57</v>
      </c>
      <c r="H554" t="s">
        <v>10</v>
      </c>
      <c r="I554">
        <v>0</v>
      </c>
      <c r="J554" t="s">
        <v>72</v>
      </c>
      <c r="K554" s="9">
        <v>58.313</v>
      </c>
      <c r="L554" s="9">
        <v>12.853</v>
      </c>
      <c r="M554" s="9">
        <v>11.249</v>
      </c>
      <c r="N554" t="s">
        <v>14</v>
      </c>
      <c r="O554" s="9">
        <v>0.64</v>
      </c>
      <c r="S554" s="7">
        <v>38.36</v>
      </c>
      <c r="T554" s="7">
        <v>22.04</v>
      </c>
      <c r="X554" s="10" t="s">
        <v>428</v>
      </c>
      <c r="Y554" s="11" t="s">
        <v>1382</v>
      </c>
      <c r="Z554" t="s">
        <v>430</v>
      </c>
    </row>
    <row r="555" spans="1:26">
      <c r="A555">
        <v>440</v>
      </c>
      <c r="B555" t="s">
        <v>1376</v>
      </c>
      <c r="C555" t="s">
        <v>1377</v>
      </c>
      <c r="D555" t="s">
        <v>1378</v>
      </c>
      <c r="E555" t="s">
        <v>1379</v>
      </c>
      <c r="F555" t="s">
        <v>1380</v>
      </c>
      <c r="G555" t="s">
        <v>62</v>
      </c>
      <c r="H555" t="s">
        <v>10</v>
      </c>
      <c r="I555">
        <v>0</v>
      </c>
      <c r="J555" t="s">
        <v>276</v>
      </c>
      <c r="K555" s="9">
        <v>59.685</v>
      </c>
      <c r="L555" s="9">
        <v>13.091</v>
      </c>
      <c r="M555" s="9">
        <v>11.253</v>
      </c>
      <c r="N555" t="s">
        <v>14</v>
      </c>
      <c r="O555" s="9">
        <v>0.65</v>
      </c>
      <c r="S555" s="7">
        <v>38</v>
      </c>
      <c r="T555" s="7">
        <v>21.93</v>
      </c>
      <c r="X555" s="10" t="s">
        <v>428</v>
      </c>
      <c r="Y555" s="11" t="s">
        <v>1383</v>
      </c>
      <c r="Z555" t="s">
        <v>430</v>
      </c>
    </row>
    <row r="556" spans="1:26">
      <c r="A556">
        <v>441</v>
      </c>
      <c r="B556" t="s">
        <v>1376</v>
      </c>
      <c r="C556" t="s">
        <v>1377</v>
      </c>
      <c r="D556" t="s">
        <v>1378</v>
      </c>
      <c r="E556" t="s">
        <v>1379</v>
      </c>
      <c r="F556" t="s">
        <v>1380</v>
      </c>
      <c r="G556" t="s">
        <v>66</v>
      </c>
      <c r="H556" t="s">
        <v>10</v>
      </c>
      <c r="I556">
        <v>0</v>
      </c>
      <c r="J556" t="s">
        <v>597</v>
      </c>
      <c r="K556" s="9">
        <v>64.69799999999999</v>
      </c>
      <c r="L556" s="9">
        <v>14.775</v>
      </c>
      <c r="M556" s="9">
        <v>12.673</v>
      </c>
      <c r="N556" t="s">
        <v>14</v>
      </c>
      <c r="S556" s="7">
        <v>38.16</v>
      </c>
      <c r="T556" s="7">
        <v>22.84</v>
      </c>
      <c r="X556" s="10" t="s">
        <v>483</v>
      </c>
      <c r="Y556" s="11" t="s">
        <v>1384</v>
      </c>
      <c r="Z556" t="s">
        <v>430</v>
      </c>
    </row>
    <row r="557" spans="1:26">
      <c r="A557">
        <v>442</v>
      </c>
      <c r="B557" t="s">
        <v>1376</v>
      </c>
      <c r="C557" t="s">
        <v>1377</v>
      </c>
      <c r="D557" t="s">
        <v>1378</v>
      </c>
      <c r="E557" t="s">
        <v>1379</v>
      </c>
      <c r="F557" t="s">
        <v>1380</v>
      </c>
      <c r="G557" t="s">
        <v>71</v>
      </c>
      <c r="H557" t="s">
        <v>10</v>
      </c>
      <c r="I557">
        <v>0</v>
      </c>
      <c r="J557" t="s">
        <v>1234</v>
      </c>
      <c r="K557" s="9">
        <v>123.945</v>
      </c>
      <c r="L557" s="9">
        <v>41.488</v>
      </c>
      <c r="M557" s="9">
        <v>34.63</v>
      </c>
      <c r="N557" t="s">
        <v>14</v>
      </c>
      <c r="O557" s="9">
        <v>2.1</v>
      </c>
      <c r="S557" s="7">
        <v>43.76</v>
      </c>
      <c r="T557" s="7">
        <v>33.47</v>
      </c>
      <c r="X557" s="10" t="s">
        <v>428</v>
      </c>
      <c r="Y557" s="11" t="s">
        <v>1385</v>
      </c>
      <c r="Z557" t="s">
        <v>430</v>
      </c>
    </row>
    <row r="558" spans="1:26">
      <c r="A558">
        <v>443</v>
      </c>
      <c r="B558" t="s">
        <v>1376</v>
      </c>
      <c r="C558" t="s">
        <v>1377</v>
      </c>
      <c r="D558" t="s">
        <v>1378</v>
      </c>
      <c r="E558" t="s">
        <v>1379</v>
      </c>
      <c r="F558" t="s">
        <v>1380</v>
      </c>
      <c r="G558" t="s">
        <v>75</v>
      </c>
      <c r="H558" t="s">
        <v>10</v>
      </c>
      <c r="I558">
        <v>0</v>
      </c>
      <c r="J558" t="s">
        <v>593</v>
      </c>
      <c r="K558" s="9">
        <v>89.584</v>
      </c>
      <c r="L558" s="9">
        <v>27.503</v>
      </c>
      <c r="M558" s="9">
        <v>23.63</v>
      </c>
      <c r="N558" t="s">
        <v>14</v>
      </c>
      <c r="O558" s="9">
        <v>1.4</v>
      </c>
      <c r="S558" s="7">
        <v>42.51</v>
      </c>
      <c r="T558" s="7">
        <v>30.7</v>
      </c>
      <c r="X558" s="10" t="s">
        <v>428</v>
      </c>
      <c r="Y558" s="11" t="s">
        <v>1386</v>
      </c>
      <c r="Z558" t="s">
        <v>430</v>
      </c>
    </row>
    <row r="559" spans="1:26">
      <c r="A559">
        <v>444</v>
      </c>
      <c r="B559" t="s">
        <v>1376</v>
      </c>
      <c r="C559" t="s">
        <v>1377</v>
      </c>
      <c r="D559" t="s">
        <v>1378</v>
      </c>
      <c r="E559" t="s">
        <v>1379</v>
      </c>
      <c r="F559" t="s">
        <v>1380</v>
      </c>
      <c r="G559" t="s">
        <v>80</v>
      </c>
      <c r="H559" t="s">
        <v>10</v>
      </c>
      <c r="I559">
        <v>0</v>
      </c>
      <c r="J559" t="s">
        <v>595</v>
      </c>
      <c r="K559" s="9">
        <v>81.434</v>
      </c>
      <c r="L559" s="9">
        <v>24.126</v>
      </c>
      <c r="M559" s="9">
        <v>21.744</v>
      </c>
      <c r="N559" t="s">
        <v>14</v>
      </c>
      <c r="O559" s="9">
        <v>1.3</v>
      </c>
      <c r="S559" s="7">
        <v>43.29</v>
      </c>
      <c r="T559" s="7">
        <v>29.63</v>
      </c>
      <c r="X559" s="10" t="s">
        <v>428</v>
      </c>
      <c r="Y559" s="11" t="s">
        <v>1387</v>
      </c>
      <c r="Z559" t="s">
        <v>430</v>
      </c>
    </row>
    <row r="560" spans="1:26">
      <c r="A560">
        <v>445</v>
      </c>
      <c r="B560" t="s">
        <v>1376</v>
      </c>
      <c r="C560" t="s">
        <v>1377</v>
      </c>
      <c r="D560" t="s">
        <v>1378</v>
      </c>
      <c r="E560" t="s">
        <v>1379</v>
      </c>
      <c r="F560" t="s">
        <v>1380</v>
      </c>
      <c r="G560" t="s">
        <v>85</v>
      </c>
      <c r="H560" t="s">
        <v>10</v>
      </c>
      <c r="I560">
        <v>0</v>
      </c>
      <c r="J560" t="s">
        <v>1388</v>
      </c>
      <c r="K560" s="9">
        <v>83.36</v>
      </c>
      <c r="L560" s="9">
        <v>23.786</v>
      </c>
      <c r="M560" s="9">
        <v>20.551</v>
      </c>
      <c r="N560" t="s">
        <v>14</v>
      </c>
      <c r="S560" s="7">
        <v>42.2</v>
      </c>
      <c r="T560" s="7">
        <v>28.53</v>
      </c>
      <c r="X560" s="10" t="s">
        <v>483</v>
      </c>
      <c r="Y560" s="11" t="s">
        <v>1389</v>
      </c>
      <c r="Z560" t="s">
        <v>430</v>
      </c>
    </row>
    <row r="561" spans="1:26">
      <c r="A561">
        <v>446</v>
      </c>
      <c r="B561" t="s">
        <v>1376</v>
      </c>
      <c r="C561" t="s">
        <v>1377</v>
      </c>
      <c r="D561" t="s">
        <v>1378</v>
      </c>
      <c r="E561" t="s">
        <v>1379</v>
      </c>
      <c r="F561" t="s">
        <v>1380</v>
      </c>
      <c r="G561" t="s">
        <v>89</v>
      </c>
      <c r="H561" t="s">
        <v>10</v>
      </c>
      <c r="I561">
        <v>0</v>
      </c>
      <c r="J561" t="s">
        <v>1390</v>
      </c>
      <c r="K561" s="9">
        <v>117.154</v>
      </c>
      <c r="L561" s="9">
        <v>36.016</v>
      </c>
      <c r="M561" s="9">
        <v>29.998</v>
      </c>
      <c r="N561" t="s">
        <v>14</v>
      </c>
      <c r="O561" s="9">
        <v>1.88</v>
      </c>
      <c r="S561" s="7">
        <v>42.96</v>
      </c>
      <c r="T561" s="7">
        <v>30.74</v>
      </c>
      <c r="X561" s="10" t="s">
        <v>428</v>
      </c>
      <c r="Y561" s="11" t="s">
        <v>1391</v>
      </c>
      <c r="Z561" t="s">
        <v>430</v>
      </c>
    </row>
    <row r="562" spans="1:26">
      <c r="A562">
        <v>447</v>
      </c>
      <c r="B562" t="s">
        <v>1376</v>
      </c>
      <c r="C562" t="s">
        <v>1377</v>
      </c>
      <c r="D562" t="s">
        <v>1378</v>
      </c>
      <c r="E562" t="s">
        <v>1379</v>
      </c>
      <c r="F562" t="s">
        <v>1380</v>
      </c>
      <c r="G562" t="s">
        <v>93</v>
      </c>
      <c r="H562" t="s">
        <v>10</v>
      </c>
      <c r="I562">
        <v>0</v>
      </c>
      <c r="J562" t="s">
        <v>1392</v>
      </c>
      <c r="K562" s="9">
        <v>97.27800000000001</v>
      </c>
      <c r="L562" s="9">
        <v>29.979</v>
      </c>
      <c r="M562" s="9">
        <v>25.01</v>
      </c>
      <c r="N562" t="s">
        <v>14</v>
      </c>
      <c r="O562" s="9">
        <v>1.52</v>
      </c>
      <c r="S562" s="7">
        <v>43.75</v>
      </c>
      <c r="T562" s="7">
        <v>30.82</v>
      </c>
      <c r="X562" s="10" t="s">
        <v>428</v>
      </c>
      <c r="Y562" s="11" t="s">
        <v>1393</v>
      </c>
      <c r="Z562" t="s">
        <v>430</v>
      </c>
    </row>
    <row r="563" spans="1:26">
      <c r="A563">
        <v>448</v>
      </c>
      <c r="B563" t="s">
        <v>1376</v>
      </c>
      <c r="C563" t="s">
        <v>1377</v>
      </c>
      <c r="D563" t="s">
        <v>1378</v>
      </c>
      <c r="E563" t="s">
        <v>1379</v>
      </c>
      <c r="F563" t="s">
        <v>1380</v>
      </c>
      <c r="G563" t="s">
        <v>98</v>
      </c>
      <c r="H563" t="s">
        <v>10</v>
      </c>
      <c r="I563">
        <v>0</v>
      </c>
      <c r="J563" t="s">
        <v>834</v>
      </c>
      <c r="K563" s="9">
        <v>82.959</v>
      </c>
      <c r="L563" s="9">
        <v>23.076</v>
      </c>
      <c r="M563" s="9">
        <v>19.442</v>
      </c>
      <c r="N563" t="s">
        <v>14</v>
      </c>
      <c r="O563" s="9">
        <v>1.2</v>
      </c>
      <c r="S563" s="7">
        <v>43.26</v>
      </c>
      <c r="T563" s="7">
        <v>27.82</v>
      </c>
      <c r="X563" s="10" t="s">
        <v>428</v>
      </c>
      <c r="Y563" s="11" t="s">
        <v>1394</v>
      </c>
      <c r="Z563" t="s">
        <v>430</v>
      </c>
    </row>
    <row r="564" spans="1:26">
      <c r="A564">
        <v>449</v>
      </c>
      <c r="B564" t="s">
        <v>1376</v>
      </c>
      <c r="C564" t="s">
        <v>1377</v>
      </c>
      <c r="D564" t="s">
        <v>1378</v>
      </c>
      <c r="E564" t="s">
        <v>1379</v>
      </c>
      <c r="F564" t="s">
        <v>1380</v>
      </c>
      <c r="G564" t="s">
        <v>103</v>
      </c>
      <c r="H564" t="s">
        <v>10</v>
      </c>
      <c r="I564">
        <v>0</v>
      </c>
      <c r="J564" t="s">
        <v>613</v>
      </c>
      <c r="K564" s="9">
        <v>90.146</v>
      </c>
      <c r="L564" s="9">
        <v>24.894</v>
      </c>
      <c r="M564" s="9">
        <v>20.721</v>
      </c>
      <c r="N564" t="s">
        <v>14</v>
      </c>
      <c r="S564" s="7">
        <v>42.26</v>
      </c>
      <c r="T564" s="7">
        <v>27.62</v>
      </c>
      <c r="X564" s="10" t="s">
        <v>483</v>
      </c>
      <c r="Y564" s="11" t="s">
        <v>1395</v>
      </c>
      <c r="Z564" t="s">
        <v>430</v>
      </c>
    </row>
    <row r="565" spans="1:26">
      <c r="A565">
        <v>450</v>
      </c>
      <c r="B565" t="s">
        <v>1376</v>
      </c>
      <c r="C565" t="s">
        <v>1377</v>
      </c>
      <c r="D565" t="s">
        <v>1378</v>
      </c>
      <c r="E565" t="s">
        <v>1379</v>
      </c>
      <c r="F565" t="s">
        <v>1380</v>
      </c>
      <c r="G565" t="s">
        <v>107</v>
      </c>
      <c r="H565" t="s">
        <v>10</v>
      </c>
      <c r="I565">
        <v>0</v>
      </c>
      <c r="J565" t="s">
        <v>607</v>
      </c>
      <c r="K565" s="9">
        <v>119.575</v>
      </c>
      <c r="L565" s="9">
        <v>40.373</v>
      </c>
      <c r="M565" s="9">
        <v>33.916</v>
      </c>
      <c r="N565" t="s">
        <v>14</v>
      </c>
      <c r="O565" s="9">
        <v>2.18</v>
      </c>
      <c r="S565" s="7">
        <v>45.87</v>
      </c>
      <c r="T565" s="7">
        <v>33.76</v>
      </c>
      <c r="X565" s="10" t="s">
        <v>428</v>
      </c>
      <c r="Y565" s="11" t="s">
        <v>1396</v>
      </c>
      <c r="Z565" t="s">
        <v>430</v>
      </c>
    </row>
    <row r="566" spans="1:26">
      <c r="A566">
        <v>451</v>
      </c>
      <c r="B566" t="s">
        <v>1376</v>
      </c>
      <c r="C566" t="s">
        <v>1377</v>
      </c>
      <c r="D566" t="s">
        <v>1378</v>
      </c>
      <c r="E566" t="s">
        <v>1379</v>
      </c>
      <c r="F566" t="s">
        <v>1380</v>
      </c>
      <c r="G566" t="s">
        <v>112</v>
      </c>
      <c r="H566" t="s">
        <v>10</v>
      </c>
      <c r="I566">
        <v>0</v>
      </c>
      <c r="J566" t="s">
        <v>1397</v>
      </c>
      <c r="K566" s="9">
        <v>94.836</v>
      </c>
      <c r="L566" s="9">
        <v>28.318</v>
      </c>
      <c r="M566" s="9">
        <v>24.16</v>
      </c>
      <c r="N566" t="s">
        <v>14</v>
      </c>
      <c r="O566" s="9">
        <v>1.52</v>
      </c>
      <c r="S566" s="7">
        <v>44.26</v>
      </c>
      <c r="T566" s="7">
        <v>29.86</v>
      </c>
      <c r="X566" s="10" t="s">
        <v>428</v>
      </c>
      <c r="Y566" s="11" t="s">
        <v>1398</v>
      </c>
      <c r="Z566" t="s">
        <v>430</v>
      </c>
    </row>
    <row r="567" spans="1:26">
      <c r="A567">
        <v>452</v>
      </c>
      <c r="B567" t="s">
        <v>1376</v>
      </c>
      <c r="C567" t="s">
        <v>1377</v>
      </c>
      <c r="D567" t="s">
        <v>1378</v>
      </c>
      <c r="E567" t="s">
        <v>1379</v>
      </c>
      <c r="F567" t="s">
        <v>1380</v>
      </c>
      <c r="G567" t="s">
        <v>116</v>
      </c>
      <c r="H567" t="s">
        <v>10</v>
      </c>
      <c r="I567">
        <v>0</v>
      </c>
      <c r="J567" t="s">
        <v>611</v>
      </c>
      <c r="K567" s="9">
        <v>81.797</v>
      </c>
      <c r="L567" s="9">
        <v>22.998</v>
      </c>
      <c r="M567" s="9">
        <v>19.881</v>
      </c>
      <c r="N567" t="s">
        <v>14</v>
      </c>
      <c r="O567" s="9">
        <v>1.26</v>
      </c>
      <c r="S567" s="7">
        <v>44.52</v>
      </c>
      <c r="T567" s="7">
        <v>28.12</v>
      </c>
      <c r="X567" s="10" t="s">
        <v>428</v>
      </c>
      <c r="Y567" s="11" t="s">
        <v>1399</v>
      </c>
      <c r="Z567" t="s">
        <v>430</v>
      </c>
    </row>
    <row r="568" spans="1:26">
      <c r="A568">
        <v>453</v>
      </c>
      <c r="B568" t="s">
        <v>1376</v>
      </c>
      <c r="C568" t="s">
        <v>1377</v>
      </c>
      <c r="D568" t="s">
        <v>1378</v>
      </c>
      <c r="E568" t="s">
        <v>1379</v>
      </c>
      <c r="F568" t="s">
        <v>1380</v>
      </c>
      <c r="G568" t="s">
        <v>120</v>
      </c>
      <c r="H568" t="s">
        <v>10</v>
      </c>
      <c r="I568">
        <v>0</v>
      </c>
      <c r="J568" t="s">
        <v>846</v>
      </c>
      <c r="K568" s="9">
        <v>89.498</v>
      </c>
      <c r="L568" s="9">
        <v>26.969</v>
      </c>
      <c r="M568" s="9">
        <v>22.956</v>
      </c>
      <c r="N568" t="s">
        <v>14</v>
      </c>
      <c r="S568" s="7">
        <v>45.17</v>
      </c>
      <c r="T568" s="7">
        <v>30.13</v>
      </c>
      <c r="X568" s="10" t="s">
        <v>483</v>
      </c>
      <c r="Y568" s="11" t="s">
        <v>1400</v>
      </c>
      <c r="Z568" t="s">
        <v>430</v>
      </c>
    </row>
    <row r="569" spans="1:26">
      <c r="A569">
        <v>454</v>
      </c>
      <c r="B569" t="s">
        <v>1376</v>
      </c>
      <c r="C569" t="s">
        <v>1377</v>
      </c>
      <c r="D569" t="s">
        <v>1378</v>
      </c>
      <c r="E569" t="s">
        <v>1379</v>
      </c>
      <c r="F569" t="s">
        <v>1380</v>
      </c>
      <c r="G569" t="s">
        <v>124</v>
      </c>
      <c r="H569" t="s">
        <v>10</v>
      </c>
      <c r="I569">
        <v>0</v>
      </c>
      <c r="J569" t="s">
        <v>848</v>
      </c>
      <c r="K569" s="9">
        <v>124.3</v>
      </c>
      <c r="L569" s="9">
        <v>42.832</v>
      </c>
      <c r="M569" s="9">
        <v>36.33</v>
      </c>
      <c r="N569" t="s">
        <v>14</v>
      </c>
      <c r="O569" s="9">
        <v>2.4</v>
      </c>
      <c r="S569" s="7">
        <v>46.88</v>
      </c>
      <c r="T569" s="7">
        <v>34.46</v>
      </c>
      <c r="X569" s="10" t="s">
        <v>428</v>
      </c>
      <c r="Y569" s="11" t="s">
        <v>1401</v>
      </c>
      <c r="Z569" t="s">
        <v>430</v>
      </c>
    </row>
    <row r="570" spans="1:26">
      <c r="A570">
        <v>455</v>
      </c>
      <c r="B570" t="s">
        <v>1376</v>
      </c>
      <c r="C570" t="s">
        <v>1377</v>
      </c>
      <c r="D570" t="s">
        <v>1378</v>
      </c>
      <c r="E570" t="s">
        <v>1379</v>
      </c>
      <c r="F570" t="s">
        <v>1380</v>
      </c>
      <c r="G570" t="s">
        <v>128</v>
      </c>
      <c r="H570" t="s">
        <v>10</v>
      </c>
      <c r="I570">
        <v>0</v>
      </c>
      <c r="J570" t="s">
        <v>1252</v>
      </c>
      <c r="K570" s="9">
        <v>90.753</v>
      </c>
      <c r="L570" s="9">
        <v>27.9</v>
      </c>
      <c r="M570" s="9">
        <v>23.636</v>
      </c>
      <c r="N570" t="s">
        <v>14</v>
      </c>
      <c r="O570" s="9">
        <v>1.53</v>
      </c>
      <c r="S570" s="7">
        <v>46.58</v>
      </c>
      <c r="T570" s="7">
        <v>30.74</v>
      </c>
      <c r="X570" s="10" t="s">
        <v>428</v>
      </c>
      <c r="Y570" s="11" t="s">
        <v>1402</v>
      </c>
      <c r="Z570" t="s">
        <v>430</v>
      </c>
    </row>
    <row r="571" spans="1:26">
      <c r="A571">
        <v>456</v>
      </c>
      <c r="B571" t="s">
        <v>1376</v>
      </c>
      <c r="C571" t="s">
        <v>1377</v>
      </c>
      <c r="D571" t="s">
        <v>1378</v>
      </c>
      <c r="E571" t="s">
        <v>1379</v>
      </c>
      <c r="F571" t="s">
        <v>1380</v>
      </c>
      <c r="G571" t="s">
        <v>133</v>
      </c>
      <c r="H571" t="s">
        <v>10</v>
      </c>
      <c r="I571">
        <v>0</v>
      </c>
      <c r="J571" t="s">
        <v>1403</v>
      </c>
      <c r="K571" s="9">
        <v>85.777</v>
      </c>
      <c r="L571" s="9">
        <v>25.352</v>
      </c>
      <c r="M571" s="9">
        <v>21.448</v>
      </c>
      <c r="N571" t="s">
        <v>14</v>
      </c>
      <c r="O571" s="9">
        <v>1.4</v>
      </c>
      <c r="S571" s="7">
        <v>46.26</v>
      </c>
      <c r="T571" s="7">
        <v>29.56</v>
      </c>
      <c r="X571" s="10" t="s">
        <v>428</v>
      </c>
      <c r="Y571" s="11" t="s">
        <v>1404</v>
      </c>
      <c r="Z571" t="s">
        <v>430</v>
      </c>
    </row>
    <row r="572" spans="1:26">
      <c r="A572">
        <v>457</v>
      </c>
      <c r="B572" t="s">
        <v>1376</v>
      </c>
      <c r="C572" t="s">
        <v>1377</v>
      </c>
      <c r="D572" t="s">
        <v>1378</v>
      </c>
      <c r="E572" t="s">
        <v>1379</v>
      </c>
      <c r="F572" t="s">
        <v>1380</v>
      </c>
      <c r="G572" t="s">
        <v>137</v>
      </c>
      <c r="H572" t="s">
        <v>10</v>
      </c>
      <c r="I572">
        <v>0</v>
      </c>
      <c r="J572" t="s">
        <v>846</v>
      </c>
      <c r="K572" s="9">
        <v>94.93000000000001</v>
      </c>
      <c r="L572" s="9">
        <v>29.591</v>
      </c>
      <c r="M572" s="9">
        <v>14.736</v>
      </c>
      <c r="N572" t="s">
        <v>14</v>
      </c>
      <c r="S572" s="7">
        <v>46.22</v>
      </c>
      <c r="T572" s="7">
        <v>31.17</v>
      </c>
      <c r="X572" s="10" t="s">
        <v>483</v>
      </c>
      <c r="Y572" s="11" t="s">
        <v>1400</v>
      </c>
      <c r="Z572" t="s">
        <v>430</v>
      </c>
    </row>
    <row r="573" spans="1:26">
      <c r="A573">
        <v>458</v>
      </c>
      <c r="B573" t="s">
        <v>1376</v>
      </c>
      <c r="C573" t="s">
        <v>1377</v>
      </c>
      <c r="D573" t="s">
        <v>1378</v>
      </c>
      <c r="E573" t="s">
        <v>1379</v>
      </c>
      <c r="F573" t="s">
        <v>1380</v>
      </c>
      <c r="G573" t="s">
        <v>141</v>
      </c>
      <c r="H573" t="s">
        <v>10</v>
      </c>
      <c r="I573">
        <v>0</v>
      </c>
      <c r="J573" t="s">
        <v>848</v>
      </c>
      <c r="K573" s="9">
        <v>143.756</v>
      </c>
      <c r="L573" s="9">
        <v>50.852</v>
      </c>
      <c r="M573" s="9">
        <v>42.097</v>
      </c>
      <c r="N573" t="s">
        <v>14</v>
      </c>
      <c r="O573" s="9">
        <v>2.84</v>
      </c>
      <c r="S573" s="7">
        <v>48.16</v>
      </c>
      <c r="T573" s="7">
        <v>35.37</v>
      </c>
      <c r="X573" s="10" t="s">
        <v>428</v>
      </c>
      <c r="Y573" s="11" t="s">
        <v>1401</v>
      </c>
      <c r="Z573" t="s">
        <v>430</v>
      </c>
    </row>
    <row r="574" spans="1:26">
      <c r="A574">
        <v>459</v>
      </c>
      <c r="B574" t="s">
        <v>1376</v>
      </c>
      <c r="C574" t="s">
        <v>1377</v>
      </c>
      <c r="D574" t="s">
        <v>1378</v>
      </c>
      <c r="E574" t="s">
        <v>1379</v>
      </c>
      <c r="F574" t="s">
        <v>1380</v>
      </c>
      <c r="G574" t="s">
        <v>146</v>
      </c>
      <c r="H574" t="s">
        <v>10</v>
      </c>
      <c r="I574">
        <v>0</v>
      </c>
      <c r="J574" t="s">
        <v>1254</v>
      </c>
      <c r="K574" s="9">
        <v>95.35899999999999</v>
      </c>
      <c r="L574" s="9">
        <v>29.589</v>
      </c>
      <c r="M574" s="9">
        <v>24.78</v>
      </c>
      <c r="N574" t="s">
        <v>14</v>
      </c>
      <c r="O574" s="9">
        <v>1.65</v>
      </c>
      <c r="S574" s="7">
        <v>47.05</v>
      </c>
      <c r="T574" s="7">
        <v>31.03</v>
      </c>
      <c r="X574" s="10" t="s">
        <v>428</v>
      </c>
      <c r="Y574" s="11" t="s">
        <v>1405</v>
      </c>
      <c r="Z574" t="s">
        <v>430</v>
      </c>
    </row>
    <row r="575" spans="1:26">
      <c r="A575">
        <v>460</v>
      </c>
      <c r="B575" t="s">
        <v>1376</v>
      </c>
      <c r="C575" t="s">
        <v>1377</v>
      </c>
      <c r="D575" t="s">
        <v>1378</v>
      </c>
      <c r="E575" t="s">
        <v>1379</v>
      </c>
      <c r="F575" t="s">
        <v>1380</v>
      </c>
      <c r="G575" t="s">
        <v>472</v>
      </c>
      <c r="H575" t="s">
        <v>10</v>
      </c>
      <c r="I575">
        <v>0</v>
      </c>
      <c r="J575" t="s">
        <v>156</v>
      </c>
      <c r="K575" s="9">
        <v>94.036</v>
      </c>
      <c r="L575" s="9">
        <v>28.202</v>
      </c>
      <c r="M575" s="9">
        <v>23.434</v>
      </c>
      <c r="N575" t="s">
        <v>14</v>
      </c>
      <c r="O575" s="9">
        <v>1.57</v>
      </c>
      <c r="S575" s="7">
        <v>46.49</v>
      </c>
      <c r="T575" s="7">
        <v>29.99</v>
      </c>
      <c r="X575" s="10" t="s">
        <v>428</v>
      </c>
      <c r="Y575" s="11" t="s">
        <v>1406</v>
      </c>
      <c r="Z575" t="s">
        <v>430</v>
      </c>
    </row>
    <row r="576" spans="1:26">
      <c r="A576">
        <v>461</v>
      </c>
      <c r="B576" t="s">
        <v>1376</v>
      </c>
      <c r="C576" t="s">
        <v>1377</v>
      </c>
      <c r="D576" t="s">
        <v>1378</v>
      </c>
      <c r="E576" t="s">
        <v>1379</v>
      </c>
      <c r="F576" t="s">
        <v>1380</v>
      </c>
      <c r="G576" t="s">
        <v>475</v>
      </c>
      <c r="H576" t="s">
        <v>10</v>
      </c>
      <c r="I576">
        <v>0</v>
      </c>
      <c r="J576" t="s">
        <v>846</v>
      </c>
      <c r="K576" s="9">
        <v>102.466</v>
      </c>
      <c r="L576" s="9">
        <v>32.427</v>
      </c>
      <c r="M576" s="9">
        <v>27.466</v>
      </c>
      <c r="N576" t="s">
        <v>14</v>
      </c>
      <c r="S576" s="7">
        <v>47.18</v>
      </c>
      <c r="T576" s="7">
        <v>31.65</v>
      </c>
      <c r="X576" s="10" t="s">
        <v>483</v>
      </c>
      <c r="Y576" s="11" t="s">
        <v>1400</v>
      </c>
      <c r="Z576" t="s">
        <v>430</v>
      </c>
    </row>
    <row r="577" spans="1:26">
      <c r="A577">
        <v>462</v>
      </c>
      <c r="B577" t="s">
        <v>1376</v>
      </c>
      <c r="C577" t="s">
        <v>1377</v>
      </c>
      <c r="D577" t="s">
        <v>1378</v>
      </c>
      <c r="E577" t="s">
        <v>1379</v>
      </c>
      <c r="F577" t="s">
        <v>1380</v>
      </c>
      <c r="G577" t="s">
        <v>155</v>
      </c>
      <c r="H577" t="s">
        <v>10</v>
      </c>
      <c r="I577">
        <v>0</v>
      </c>
      <c r="J577" t="s">
        <v>1254</v>
      </c>
      <c r="K577" s="9">
        <v>111.184</v>
      </c>
      <c r="L577" s="9">
        <v>35.885</v>
      </c>
      <c r="M577" s="9">
        <v>29.578</v>
      </c>
      <c r="N577" t="s">
        <v>14</v>
      </c>
      <c r="O577" s="9">
        <v>2.01</v>
      </c>
      <c r="S577" s="7">
        <v>49.27</v>
      </c>
      <c r="T577" s="7">
        <v>32.28</v>
      </c>
      <c r="X577" s="10" t="s">
        <v>428</v>
      </c>
      <c r="Y577" s="11" t="s">
        <v>1405</v>
      </c>
      <c r="Z577" t="s">
        <v>430</v>
      </c>
    </row>
    <row r="578" spans="1:26">
      <c r="A578">
        <v>513</v>
      </c>
      <c r="B578" t="s">
        <v>1407</v>
      </c>
      <c r="C578" t="s">
        <v>1408</v>
      </c>
      <c r="D578" t="s">
        <v>1409</v>
      </c>
      <c r="E578" t="s">
        <v>1410</v>
      </c>
      <c r="F578" t="s">
        <v>1411</v>
      </c>
      <c r="G578" t="s">
        <v>50</v>
      </c>
      <c r="H578" t="s">
        <v>10</v>
      </c>
      <c r="I578">
        <v>0</v>
      </c>
      <c r="J578" t="s">
        <v>1412</v>
      </c>
      <c r="K578" s="9">
        <v>4.789</v>
      </c>
      <c r="L578" s="9">
        <v>0.621</v>
      </c>
      <c r="M578" s="9">
        <v>0.438</v>
      </c>
      <c r="N578" t="s">
        <v>14</v>
      </c>
      <c r="O578" s="9">
        <v>1.07</v>
      </c>
      <c r="T578" s="7">
        <v>12.97</v>
      </c>
      <c r="X578" s="10" t="s">
        <v>428</v>
      </c>
      <c r="Y578" s="11" t="s">
        <v>1413</v>
      </c>
      <c r="Z578" t="s">
        <v>430</v>
      </c>
    </row>
    <row r="579" spans="1:26">
      <c r="A579">
        <v>514</v>
      </c>
      <c r="B579" t="s">
        <v>1407</v>
      </c>
      <c r="C579" t="s">
        <v>1408</v>
      </c>
      <c r="D579" t="s">
        <v>1409</v>
      </c>
      <c r="E579" t="s">
        <v>1410</v>
      </c>
      <c r="F579" t="s">
        <v>1411</v>
      </c>
      <c r="G579" t="s">
        <v>57</v>
      </c>
      <c r="H579" t="s">
        <v>10</v>
      </c>
      <c r="I579">
        <v>0</v>
      </c>
      <c r="J579" t="s">
        <v>1264</v>
      </c>
      <c r="K579" s="9">
        <v>3.856</v>
      </c>
      <c r="L579" s="9">
        <v>0.047</v>
      </c>
      <c r="M579" s="9">
        <v>0.054</v>
      </c>
      <c r="N579" t="s">
        <v>14</v>
      </c>
      <c r="O579" s="9">
        <v>0.13</v>
      </c>
      <c r="T579" s="7">
        <v>1.22</v>
      </c>
      <c r="X579" s="10" t="s">
        <v>428</v>
      </c>
      <c r="Y579" s="11" t="s">
        <v>1414</v>
      </c>
      <c r="Z579" t="s">
        <v>430</v>
      </c>
    </row>
    <row r="580" spans="1:26">
      <c r="A580">
        <v>515</v>
      </c>
      <c r="B580" t="s">
        <v>1407</v>
      </c>
      <c r="C580" t="s">
        <v>1408</v>
      </c>
      <c r="D580" t="s">
        <v>1409</v>
      </c>
      <c r="E580" t="s">
        <v>1410</v>
      </c>
      <c r="F580" t="s">
        <v>1411</v>
      </c>
      <c r="G580" t="s">
        <v>62</v>
      </c>
      <c r="H580" t="s">
        <v>10</v>
      </c>
      <c r="I580">
        <v>0</v>
      </c>
      <c r="J580" t="s">
        <v>1266</v>
      </c>
      <c r="K580" s="9">
        <v>4.526</v>
      </c>
      <c r="L580" s="9">
        <v>0.525</v>
      </c>
      <c r="M580" s="9">
        <v>0.447</v>
      </c>
      <c r="N580" t="s">
        <v>14</v>
      </c>
      <c r="O580" s="9">
        <v>1.11</v>
      </c>
      <c r="T580" s="7">
        <v>11.6</v>
      </c>
      <c r="X580" s="10" t="s">
        <v>428</v>
      </c>
      <c r="Y580" s="11" t="s">
        <v>1415</v>
      </c>
      <c r="Z580" t="s">
        <v>430</v>
      </c>
    </row>
    <row r="581" spans="1:26">
      <c r="A581">
        <v>516</v>
      </c>
      <c r="B581" t="s">
        <v>1407</v>
      </c>
      <c r="C581" t="s">
        <v>1408</v>
      </c>
      <c r="D581" t="s">
        <v>1409</v>
      </c>
      <c r="E581" t="s">
        <v>1410</v>
      </c>
      <c r="F581" t="s">
        <v>1411</v>
      </c>
      <c r="G581" t="s">
        <v>66</v>
      </c>
      <c r="H581" t="s">
        <v>10</v>
      </c>
      <c r="I581">
        <v>0</v>
      </c>
      <c r="J581" t="s">
        <v>785</v>
      </c>
      <c r="K581" s="9">
        <v>4.687</v>
      </c>
      <c r="L581" s="9">
        <v>0.553</v>
      </c>
      <c r="M581" s="9">
        <v>0.476</v>
      </c>
      <c r="N581" t="s">
        <v>14</v>
      </c>
      <c r="T581" s="7">
        <v>11.8</v>
      </c>
      <c r="X581" s="10" t="s">
        <v>436</v>
      </c>
      <c r="Y581" s="11" t="s">
        <v>1416</v>
      </c>
      <c r="Z581" t="s">
        <v>430</v>
      </c>
    </row>
    <row r="582" spans="1:26">
      <c r="A582">
        <v>517</v>
      </c>
      <c r="B582" t="s">
        <v>1407</v>
      </c>
      <c r="C582" t="s">
        <v>1408</v>
      </c>
      <c r="D582" t="s">
        <v>1409</v>
      </c>
      <c r="E582" t="s">
        <v>1410</v>
      </c>
      <c r="F582" t="s">
        <v>1411</v>
      </c>
      <c r="G582" t="s">
        <v>71</v>
      </c>
      <c r="H582" t="s">
        <v>10</v>
      </c>
      <c r="I582">
        <v>0</v>
      </c>
      <c r="J582" t="s">
        <v>1270</v>
      </c>
      <c r="K582" s="9">
        <v>4.692</v>
      </c>
      <c r="L582" s="9">
        <v>0.538</v>
      </c>
      <c r="M582" s="9">
        <v>0.459</v>
      </c>
      <c r="N582" t="s">
        <v>14</v>
      </c>
      <c r="O582" s="9">
        <v>1.14</v>
      </c>
      <c r="T582" s="7">
        <v>11.47</v>
      </c>
      <c r="X582" s="10" t="s">
        <v>428</v>
      </c>
      <c r="Y582" s="11" t="s">
        <v>1417</v>
      </c>
      <c r="Z582" t="s">
        <v>430</v>
      </c>
    </row>
    <row r="583" spans="1:26">
      <c r="A583">
        <v>518</v>
      </c>
      <c r="B583" t="s">
        <v>1407</v>
      </c>
      <c r="C583" t="s">
        <v>1408</v>
      </c>
      <c r="D583" t="s">
        <v>1409</v>
      </c>
      <c r="E583" t="s">
        <v>1410</v>
      </c>
      <c r="F583" t="s">
        <v>1411</v>
      </c>
      <c r="G583" t="s">
        <v>75</v>
      </c>
      <c r="H583" t="s">
        <v>10</v>
      </c>
      <c r="I583">
        <v>0</v>
      </c>
      <c r="J583" t="s">
        <v>1272</v>
      </c>
      <c r="K583" s="9">
        <v>5.215</v>
      </c>
      <c r="L583" s="9">
        <v>0.62</v>
      </c>
      <c r="M583" s="9">
        <v>0.506</v>
      </c>
      <c r="N583" t="s">
        <v>14</v>
      </c>
      <c r="O583" s="9">
        <v>1.26</v>
      </c>
      <c r="T583" s="7">
        <v>11.89</v>
      </c>
      <c r="X583" s="10" t="s">
        <v>428</v>
      </c>
      <c r="Y583" s="11" t="s">
        <v>1418</v>
      </c>
      <c r="Z583" t="s">
        <v>430</v>
      </c>
    </row>
    <row r="584" spans="1:26">
      <c r="A584">
        <v>519</v>
      </c>
      <c r="B584" t="s">
        <v>1407</v>
      </c>
      <c r="C584" t="s">
        <v>1408</v>
      </c>
      <c r="D584" t="s">
        <v>1409</v>
      </c>
      <c r="E584" t="s">
        <v>1410</v>
      </c>
      <c r="F584" t="s">
        <v>1411</v>
      </c>
      <c r="G584" t="s">
        <v>80</v>
      </c>
      <c r="H584" t="s">
        <v>10</v>
      </c>
      <c r="I584">
        <v>0</v>
      </c>
      <c r="J584" t="s">
        <v>1274</v>
      </c>
      <c r="K584" s="9">
        <v>4.923</v>
      </c>
      <c r="L584" s="9">
        <v>1.113</v>
      </c>
      <c r="M584" s="9">
        <v>0.63</v>
      </c>
      <c r="N584" t="s">
        <v>14</v>
      </c>
      <c r="O584" s="9">
        <v>1.57</v>
      </c>
      <c r="T584" s="7">
        <v>22.61</v>
      </c>
      <c r="X584" s="10" t="s">
        <v>428</v>
      </c>
      <c r="Y584" s="11" t="s">
        <v>1419</v>
      </c>
      <c r="Z584" t="s">
        <v>430</v>
      </c>
    </row>
    <row r="585" spans="1:26">
      <c r="A585">
        <v>520</v>
      </c>
      <c r="B585" t="s">
        <v>1407</v>
      </c>
      <c r="C585" t="s">
        <v>1408</v>
      </c>
      <c r="D585" t="s">
        <v>1409</v>
      </c>
      <c r="E585" t="s">
        <v>1410</v>
      </c>
      <c r="F585" t="s">
        <v>1411</v>
      </c>
      <c r="G585" t="s">
        <v>85</v>
      </c>
      <c r="H585" t="s">
        <v>10</v>
      </c>
      <c r="I585">
        <v>0</v>
      </c>
      <c r="J585" t="s">
        <v>1420</v>
      </c>
      <c r="K585" s="9">
        <v>4.798</v>
      </c>
      <c r="L585" s="9">
        <v>0.625</v>
      </c>
      <c r="M585" s="9">
        <v>0.551</v>
      </c>
      <c r="N585" t="s">
        <v>14</v>
      </c>
      <c r="T585" s="7">
        <v>13.03</v>
      </c>
      <c r="X585" s="10" t="s">
        <v>436</v>
      </c>
      <c r="Y585" s="11" t="s">
        <v>1421</v>
      </c>
      <c r="Z585" t="s">
        <v>430</v>
      </c>
    </row>
    <row r="586" spans="1:26">
      <c r="A586">
        <v>521</v>
      </c>
      <c r="B586" t="s">
        <v>1407</v>
      </c>
      <c r="C586" t="s">
        <v>1408</v>
      </c>
      <c r="D586" t="s">
        <v>1409</v>
      </c>
      <c r="E586" t="s">
        <v>1410</v>
      </c>
      <c r="F586" t="s">
        <v>1411</v>
      </c>
      <c r="G586" t="s">
        <v>89</v>
      </c>
      <c r="H586" t="s">
        <v>10</v>
      </c>
      <c r="I586">
        <v>0</v>
      </c>
      <c r="J586" t="s">
        <v>1278</v>
      </c>
      <c r="K586" s="9">
        <v>4.843</v>
      </c>
      <c r="L586" s="9">
        <v>0.619</v>
      </c>
      <c r="M586" s="9">
        <v>0.533</v>
      </c>
      <c r="N586" t="s">
        <v>14</v>
      </c>
      <c r="O586" s="9">
        <v>1.33</v>
      </c>
      <c r="T586" s="7">
        <v>12.78</v>
      </c>
      <c r="X586" s="10" t="s">
        <v>428</v>
      </c>
      <c r="Y586" s="11" t="s">
        <v>1422</v>
      </c>
      <c r="Z586" t="s">
        <v>430</v>
      </c>
    </row>
    <row r="587" spans="1:26">
      <c r="A587">
        <v>522</v>
      </c>
      <c r="B587" t="s">
        <v>1407</v>
      </c>
      <c r="C587" t="s">
        <v>1408</v>
      </c>
      <c r="D587" t="s">
        <v>1409</v>
      </c>
      <c r="E587" t="s">
        <v>1410</v>
      </c>
      <c r="F587" t="s">
        <v>1411</v>
      </c>
      <c r="G587" t="s">
        <v>93</v>
      </c>
      <c r="H587" t="s">
        <v>10</v>
      </c>
      <c r="I587">
        <v>0</v>
      </c>
      <c r="J587" t="s">
        <v>751</v>
      </c>
      <c r="K587" s="9">
        <v>5.212</v>
      </c>
      <c r="L587" s="9">
        <v>0.72</v>
      </c>
      <c r="M587" s="9">
        <v>0.601</v>
      </c>
      <c r="N587" t="s">
        <v>14</v>
      </c>
      <c r="O587" s="9">
        <v>1.5</v>
      </c>
      <c r="T587" s="7">
        <v>13.81</v>
      </c>
      <c r="X587" s="10" t="s">
        <v>428</v>
      </c>
      <c r="Y587" s="11" t="s">
        <v>1423</v>
      </c>
      <c r="Z587" t="s">
        <v>430</v>
      </c>
    </row>
    <row r="588" spans="1:26">
      <c r="A588">
        <v>523</v>
      </c>
      <c r="B588" t="s">
        <v>1407</v>
      </c>
      <c r="C588" t="s">
        <v>1408</v>
      </c>
      <c r="D588" t="s">
        <v>1409</v>
      </c>
      <c r="E588" t="s">
        <v>1410</v>
      </c>
      <c r="F588" t="s">
        <v>1411</v>
      </c>
      <c r="G588" t="s">
        <v>98</v>
      </c>
      <c r="H588" t="s">
        <v>10</v>
      </c>
      <c r="I588">
        <v>0</v>
      </c>
      <c r="J588" t="s">
        <v>1104</v>
      </c>
      <c r="K588" s="9">
        <v>5.313</v>
      </c>
      <c r="L588" s="9">
        <v>0.72</v>
      </c>
      <c r="M588" s="9">
        <v>0.608</v>
      </c>
      <c r="N588" t="s">
        <v>14</v>
      </c>
      <c r="O588" s="9">
        <v>1.52</v>
      </c>
      <c r="T588" s="7">
        <v>13.55</v>
      </c>
      <c r="X588" s="10" t="s">
        <v>428</v>
      </c>
      <c r="Y588" s="11" t="s">
        <v>1424</v>
      </c>
      <c r="Z588" t="s">
        <v>430</v>
      </c>
    </row>
    <row r="589" spans="1:26">
      <c r="A589">
        <v>524</v>
      </c>
      <c r="B589" t="s">
        <v>1407</v>
      </c>
      <c r="C589" t="s">
        <v>1408</v>
      </c>
      <c r="D589" t="s">
        <v>1409</v>
      </c>
      <c r="E589" t="s">
        <v>1410</v>
      </c>
      <c r="F589" t="s">
        <v>1411</v>
      </c>
      <c r="G589" t="s">
        <v>103</v>
      </c>
      <c r="H589" t="s">
        <v>10</v>
      </c>
      <c r="I589">
        <v>0</v>
      </c>
      <c r="J589" t="s">
        <v>1425</v>
      </c>
      <c r="K589" s="9">
        <v>5.384</v>
      </c>
      <c r="L589" s="9">
        <v>0.852</v>
      </c>
      <c r="M589" s="9">
        <v>0.723</v>
      </c>
      <c r="N589" t="s">
        <v>14</v>
      </c>
      <c r="T589" s="7">
        <v>15.82</v>
      </c>
      <c r="X589" s="10" t="s">
        <v>436</v>
      </c>
      <c r="Y589" s="11" t="s">
        <v>1426</v>
      </c>
      <c r="Z589" t="s">
        <v>430</v>
      </c>
    </row>
    <row r="590" spans="1:26">
      <c r="A590">
        <v>525</v>
      </c>
      <c r="B590" t="s">
        <v>1407</v>
      </c>
      <c r="C590" t="s">
        <v>1408</v>
      </c>
      <c r="D590" t="s">
        <v>1409</v>
      </c>
      <c r="E590" t="s">
        <v>1410</v>
      </c>
      <c r="F590" t="s">
        <v>1411</v>
      </c>
      <c r="G590" t="s">
        <v>107</v>
      </c>
      <c r="H590" t="s">
        <v>10</v>
      </c>
      <c r="I590">
        <v>0</v>
      </c>
      <c r="J590" t="s">
        <v>125</v>
      </c>
      <c r="K590" s="9">
        <v>5.483</v>
      </c>
      <c r="L590" s="9">
        <v>0.762</v>
      </c>
      <c r="M590" s="9">
        <v>0.639</v>
      </c>
      <c r="N590" t="s">
        <v>14</v>
      </c>
      <c r="O590" s="9">
        <v>1.59</v>
      </c>
      <c r="T590" s="7">
        <v>13.9</v>
      </c>
      <c r="X590" s="10" t="s">
        <v>428</v>
      </c>
      <c r="Y590" s="11" t="s">
        <v>1427</v>
      </c>
      <c r="Z590" t="s">
        <v>430</v>
      </c>
    </row>
    <row r="591" spans="1:26">
      <c r="A591">
        <v>526</v>
      </c>
      <c r="B591" t="s">
        <v>1407</v>
      </c>
      <c r="C591" t="s">
        <v>1408</v>
      </c>
      <c r="D591" t="s">
        <v>1409</v>
      </c>
      <c r="E591" t="s">
        <v>1410</v>
      </c>
      <c r="F591" t="s">
        <v>1411</v>
      </c>
      <c r="G591" t="s">
        <v>112</v>
      </c>
      <c r="H591" t="s">
        <v>10</v>
      </c>
      <c r="I591">
        <v>0</v>
      </c>
      <c r="J591" t="s">
        <v>129</v>
      </c>
      <c r="K591" s="9">
        <v>5.866</v>
      </c>
      <c r="L591" s="9">
        <v>0.898</v>
      </c>
      <c r="M591" s="9">
        <v>0.745</v>
      </c>
      <c r="N591" t="s">
        <v>14</v>
      </c>
      <c r="O591" s="9">
        <v>1.86</v>
      </c>
      <c r="T591" s="7">
        <v>15.31</v>
      </c>
      <c r="X591" s="10" t="s">
        <v>428</v>
      </c>
      <c r="Y591" s="11" t="s">
        <v>1428</v>
      </c>
      <c r="Z591" t="s">
        <v>430</v>
      </c>
    </row>
    <row r="592" spans="1:26">
      <c r="A592">
        <v>527</v>
      </c>
      <c r="B592" t="s">
        <v>1407</v>
      </c>
      <c r="C592" t="s">
        <v>1408</v>
      </c>
      <c r="D592" t="s">
        <v>1409</v>
      </c>
      <c r="E592" t="s">
        <v>1410</v>
      </c>
      <c r="F592" t="s">
        <v>1411</v>
      </c>
      <c r="G592" t="s">
        <v>116</v>
      </c>
      <c r="H592" t="s">
        <v>10</v>
      </c>
      <c r="I592">
        <v>0</v>
      </c>
      <c r="J592" t="s">
        <v>134</v>
      </c>
      <c r="K592" s="9">
        <v>5.88</v>
      </c>
      <c r="L592" s="9">
        <v>1.079</v>
      </c>
      <c r="M592" s="9">
        <v>0.892</v>
      </c>
      <c r="N592" t="s">
        <v>14</v>
      </c>
      <c r="O592" s="9">
        <v>2.22</v>
      </c>
      <c r="T592" s="7">
        <v>18.35</v>
      </c>
      <c r="X592" s="10" t="s">
        <v>428</v>
      </c>
      <c r="Y592" s="11" t="s">
        <v>1429</v>
      </c>
      <c r="Z592" t="s">
        <v>430</v>
      </c>
    </row>
    <row r="593" spans="1:26">
      <c r="A593">
        <v>528</v>
      </c>
      <c r="B593" t="s">
        <v>1407</v>
      </c>
      <c r="C593" t="s">
        <v>1408</v>
      </c>
      <c r="D593" t="s">
        <v>1409</v>
      </c>
      <c r="E593" t="s">
        <v>1410</v>
      </c>
      <c r="F593" t="s">
        <v>1411</v>
      </c>
      <c r="G593" t="s">
        <v>120</v>
      </c>
      <c r="H593" t="s">
        <v>10</v>
      </c>
      <c r="I593">
        <v>0</v>
      </c>
      <c r="J593" t="s">
        <v>1430</v>
      </c>
      <c r="K593" s="9">
        <v>5.967</v>
      </c>
      <c r="L593" s="9">
        <v>1.088</v>
      </c>
      <c r="M593" s="9">
        <v>0.947</v>
      </c>
      <c r="N593" t="s">
        <v>14</v>
      </c>
      <c r="T593" s="7">
        <v>18.23</v>
      </c>
      <c r="X593" s="10" t="s">
        <v>436</v>
      </c>
      <c r="Y593" s="11" t="s">
        <v>1431</v>
      </c>
      <c r="Z593" t="s">
        <v>430</v>
      </c>
    </row>
    <row r="594" spans="1:26">
      <c r="A594">
        <v>529</v>
      </c>
      <c r="B594" t="s">
        <v>1407</v>
      </c>
      <c r="C594" t="s">
        <v>1408</v>
      </c>
      <c r="D594" t="s">
        <v>1409</v>
      </c>
      <c r="E594" t="s">
        <v>1410</v>
      </c>
      <c r="F594" t="s">
        <v>1411</v>
      </c>
      <c r="G594" t="s">
        <v>124</v>
      </c>
      <c r="H594" t="s">
        <v>10</v>
      </c>
      <c r="I594">
        <v>0</v>
      </c>
      <c r="J594" t="s">
        <v>1252</v>
      </c>
      <c r="K594" s="9">
        <v>5.943</v>
      </c>
      <c r="L594" s="9">
        <v>1.001</v>
      </c>
      <c r="M594" s="9">
        <v>0.822</v>
      </c>
      <c r="N594" t="s">
        <v>14</v>
      </c>
      <c r="O594" s="9">
        <v>2.04</v>
      </c>
      <c r="T594" s="7">
        <v>16.84</v>
      </c>
      <c r="X594" s="10" t="s">
        <v>428</v>
      </c>
      <c r="Y594" s="11" t="s">
        <v>1432</v>
      </c>
      <c r="Z594" t="s">
        <v>430</v>
      </c>
    </row>
    <row r="595" spans="1:26">
      <c r="A595">
        <v>530</v>
      </c>
      <c r="B595" t="s">
        <v>1407</v>
      </c>
      <c r="C595" t="s">
        <v>1408</v>
      </c>
      <c r="D595" t="s">
        <v>1409</v>
      </c>
      <c r="E595" t="s">
        <v>1410</v>
      </c>
      <c r="F595" t="s">
        <v>1411</v>
      </c>
      <c r="G595" t="s">
        <v>128</v>
      </c>
      <c r="H595" t="s">
        <v>10</v>
      </c>
      <c r="I595">
        <v>0</v>
      </c>
      <c r="J595" t="s">
        <v>1433</v>
      </c>
      <c r="K595" s="9">
        <v>6.35</v>
      </c>
      <c r="L595" s="9">
        <v>1.195</v>
      </c>
      <c r="M595" s="9">
        <v>0.994</v>
      </c>
      <c r="N595" t="s">
        <v>14</v>
      </c>
      <c r="O595" s="9">
        <v>2.48</v>
      </c>
      <c r="T595" s="7">
        <v>18.82</v>
      </c>
      <c r="X595" s="10" t="s">
        <v>428</v>
      </c>
      <c r="Y595" s="11" t="s">
        <v>1434</v>
      </c>
      <c r="Z595" t="s">
        <v>430</v>
      </c>
    </row>
    <row r="596" spans="1:26">
      <c r="A596">
        <v>531</v>
      </c>
      <c r="B596" t="s">
        <v>1407</v>
      </c>
      <c r="C596" t="s">
        <v>1408</v>
      </c>
      <c r="D596" t="s">
        <v>1409</v>
      </c>
      <c r="E596" t="s">
        <v>1410</v>
      </c>
      <c r="F596" t="s">
        <v>1411</v>
      </c>
      <c r="G596" t="s">
        <v>133</v>
      </c>
      <c r="H596" t="s">
        <v>10</v>
      </c>
      <c r="I596">
        <v>0</v>
      </c>
      <c r="J596" t="s">
        <v>1435</v>
      </c>
      <c r="K596" s="9">
        <v>6.345</v>
      </c>
      <c r="L596" s="9">
        <v>1.204</v>
      </c>
      <c r="M596" s="9">
        <v>1.011</v>
      </c>
      <c r="N596" t="s">
        <v>14</v>
      </c>
      <c r="O596" s="9">
        <v>2.53</v>
      </c>
      <c r="T596" s="7">
        <v>18.98</v>
      </c>
      <c r="X596" s="10" t="s">
        <v>428</v>
      </c>
      <c r="Y596" s="11" t="s">
        <v>1436</v>
      </c>
      <c r="Z596" t="s">
        <v>430</v>
      </c>
    </row>
    <row r="597" spans="1:26">
      <c r="A597">
        <v>532</v>
      </c>
      <c r="B597" t="s">
        <v>1407</v>
      </c>
      <c r="C597" t="s">
        <v>1408</v>
      </c>
      <c r="D597" t="s">
        <v>1409</v>
      </c>
      <c r="E597" t="s">
        <v>1410</v>
      </c>
      <c r="F597" t="s">
        <v>1411</v>
      </c>
      <c r="G597" t="s">
        <v>137</v>
      </c>
      <c r="H597" t="s">
        <v>10</v>
      </c>
      <c r="I597">
        <v>0</v>
      </c>
      <c r="J597" t="s">
        <v>1430</v>
      </c>
      <c r="K597" s="9">
        <v>6.24</v>
      </c>
      <c r="L597" s="9">
        <v>1.166</v>
      </c>
      <c r="M597" s="9">
        <v>0.971</v>
      </c>
      <c r="N597" t="s">
        <v>14</v>
      </c>
      <c r="T597" s="7">
        <v>18.69</v>
      </c>
      <c r="X597" s="10" t="s">
        <v>436</v>
      </c>
      <c r="Y597" s="11" t="s">
        <v>1431</v>
      </c>
      <c r="Z597" t="s">
        <v>430</v>
      </c>
    </row>
    <row r="598" spans="1:26">
      <c r="A598">
        <v>533</v>
      </c>
      <c r="B598" t="s">
        <v>1407</v>
      </c>
      <c r="C598" t="s">
        <v>1408</v>
      </c>
      <c r="D598" t="s">
        <v>1409</v>
      </c>
      <c r="E598" t="s">
        <v>1410</v>
      </c>
      <c r="F598" t="s">
        <v>1411</v>
      </c>
      <c r="G598" t="s">
        <v>141</v>
      </c>
      <c r="H598" t="s">
        <v>10</v>
      </c>
      <c r="I598">
        <v>0</v>
      </c>
      <c r="J598" t="s">
        <v>1437</v>
      </c>
      <c r="K598" s="9">
        <v>6.377</v>
      </c>
      <c r="L598" s="9">
        <v>1.177</v>
      </c>
      <c r="M598" s="9">
        <v>0.965</v>
      </c>
      <c r="N598" t="s">
        <v>14</v>
      </c>
      <c r="O598" s="9">
        <v>2.45</v>
      </c>
      <c r="T598" s="7">
        <v>18.46</v>
      </c>
      <c r="X598" s="10" t="s">
        <v>428</v>
      </c>
      <c r="Y598" s="11" t="s">
        <v>1438</v>
      </c>
      <c r="Z598" t="s">
        <v>430</v>
      </c>
    </row>
    <row r="599" spans="1:26">
      <c r="A599">
        <v>534</v>
      </c>
      <c r="B599" t="s">
        <v>1407</v>
      </c>
      <c r="C599" t="s">
        <v>1408</v>
      </c>
      <c r="D599" t="s">
        <v>1409</v>
      </c>
      <c r="E599" t="s">
        <v>1410</v>
      </c>
      <c r="F599" t="s">
        <v>1411</v>
      </c>
      <c r="G599" t="s">
        <v>146</v>
      </c>
      <c r="H599" t="s">
        <v>10</v>
      </c>
      <c r="I599">
        <v>0</v>
      </c>
      <c r="J599" t="s">
        <v>156</v>
      </c>
      <c r="K599" s="9">
        <v>7.028</v>
      </c>
      <c r="L599" s="9">
        <v>1.186</v>
      </c>
      <c r="M599" s="9">
        <v>0.982</v>
      </c>
      <c r="N599" t="s">
        <v>14</v>
      </c>
      <c r="O599" s="9">
        <v>2.51</v>
      </c>
      <c r="T599" s="7">
        <v>16.88</v>
      </c>
      <c r="X599" s="10" t="s">
        <v>428</v>
      </c>
      <c r="Y599" s="11" t="s">
        <v>1439</v>
      </c>
      <c r="Z599" t="s">
        <v>430</v>
      </c>
    </row>
    <row r="600" spans="1:26">
      <c r="A600">
        <v>535</v>
      </c>
      <c r="B600" t="s">
        <v>1407</v>
      </c>
      <c r="C600" t="s">
        <v>1408</v>
      </c>
      <c r="D600" t="s">
        <v>1409</v>
      </c>
      <c r="E600" t="s">
        <v>1410</v>
      </c>
      <c r="F600" t="s">
        <v>1411</v>
      </c>
      <c r="G600" t="s">
        <v>472</v>
      </c>
      <c r="H600" t="s">
        <v>10</v>
      </c>
      <c r="I600">
        <v>0</v>
      </c>
      <c r="J600" t="s">
        <v>1435</v>
      </c>
      <c r="K600" s="9">
        <v>6.988</v>
      </c>
      <c r="L600" s="9">
        <v>1.275</v>
      </c>
      <c r="M600" s="9">
        <v>1.01</v>
      </c>
      <c r="N600" t="s">
        <v>14</v>
      </c>
      <c r="O600" s="9">
        <v>2.59</v>
      </c>
      <c r="T600" s="7">
        <v>18.25</v>
      </c>
      <c r="X600" s="10" t="s">
        <v>428</v>
      </c>
      <c r="Y600" s="11" t="s">
        <v>1436</v>
      </c>
      <c r="Z600" t="s">
        <v>430</v>
      </c>
    </row>
    <row r="601" spans="1:26">
      <c r="A601">
        <v>536</v>
      </c>
      <c r="B601" t="s">
        <v>1407</v>
      </c>
      <c r="C601" t="s">
        <v>1408</v>
      </c>
      <c r="D601" t="s">
        <v>1409</v>
      </c>
      <c r="E601" t="s">
        <v>1410</v>
      </c>
      <c r="F601" t="s">
        <v>1411</v>
      </c>
      <c r="G601" t="s">
        <v>475</v>
      </c>
      <c r="H601" t="s">
        <v>10</v>
      </c>
      <c r="I601">
        <v>0</v>
      </c>
      <c r="J601" t="s">
        <v>1430</v>
      </c>
      <c r="K601" s="9">
        <v>7.055</v>
      </c>
      <c r="L601" s="9">
        <v>1.294</v>
      </c>
      <c r="M601" s="9">
        <v>1.133</v>
      </c>
      <c r="N601" t="s">
        <v>14</v>
      </c>
      <c r="T601" s="7">
        <v>18.34</v>
      </c>
      <c r="X601" s="10" t="s">
        <v>436</v>
      </c>
      <c r="Y601" s="11" t="s">
        <v>1431</v>
      </c>
      <c r="Z601" t="s">
        <v>430</v>
      </c>
    </row>
    <row r="602" spans="1:26">
      <c r="A602">
        <v>537</v>
      </c>
      <c r="B602" t="s">
        <v>1407</v>
      </c>
      <c r="C602" t="s">
        <v>1408</v>
      </c>
      <c r="D602" t="s">
        <v>1409</v>
      </c>
      <c r="E602" t="s">
        <v>1410</v>
      </c>
      <c r="F602" t="s">
        <v>1411</v>
      </c>
      <c r="G602" t="s">
        <v>150</v>
      </c>
      <c r="H602" t="s">
        <v>10</v>
      </c>
      <c r="I602">
        <v>0</v>
      </c>
      <c r="J602" t="s">
        <v>1437</v>
      </c>
      <c r="K602" s="9">
        <v>7.451</v>
      </c>
      <c r="L602" s="9">
        <v>1.107</v>
      </c>
      <c r="M602" s="9">
        <v>0.868</v>
      </c>
      <c r="N602" t="s">
        <v>14</v>
      </c>
      <c r="O602" s="9">
        <v>2.22</v>
      </c>
      <c r="T602" s="7">
        <v>14.86</v>
      </c>
      <c r="X602" s="10" t="s">
        <v>428</v>
      </c>
      <c r="Y602" s="11" t="s">
        <v>1438</v>
      </c>
      <c r="Z602" t="s">
        <v>430</v>
      </c>
    </row>
    <row r="603" spans="1:26">
      <c r="A603">
        <v>538</v>
      </c>
      <c r="B603" t="s">
        <v>1407</v>
      </c>
      <c r="C603" t="s">
        <v>1408</v>
      </c>
      <c r="D603" t="s">
        <v>1409</v>
      </c>
      <c r="E603" t="s">
        <v>1410</v>
      </c>
      <c r="F603" t="s">
        <v>1411</v>
      </c>
      <c r="G603" t="s">
        <v>155</v>
      </c>
      <c r="H603" t="s">
        <v>10</v>
      </c>
      <c r="I603">
        <v>0</v>
      </c>
      <c r="J603" t="s">
        <v>156</v>
      </c>
      <c r="K603" s="9">
        <v>8.531000000000001</v>
      </c>
      <c r="L603" s="9">
        <v>1.144</v>
      </c>
      <c r="M603" s="9">
        <v>0.823</v>
      </c>
      <c r="N603" t="s">
        <v>14</v>
      </c>
      <c r="O603" s="9">
        <v>2.11</v>
      </c>
      <c r="T603" s="7">
        <v>13.41</v>
      </c>
      <c r="X603" s="10" t="s">
        <v>428</v>
      </c>
      <c r="Y603" s="11" t="s">
        <v>1439</v>
      </c>
      <c r="Z603" t="s">
        <v>430</v>
      </c>
    </row>
    <row r="604" spans="1:26">
      <c r="A604">
        <v>539</v>
      </c>
      <c r="B604" t="s">
        <v>1440</v>
      </c>
      <c r="C604" t="s">
        <v>1441</v>
      </c>
      <c r="D604" t="s">
        <v>1442</v>
      </c>
      <c r="E604" t="s">
        <v>1410</v>
      </c>
      <c r="F604" t="s">
        <v>1443</v>
      </c>
      <c r="G604" t="s">
        <v>107</v>
      </c>
      <c r="H604" t="s">
        <v>10</v>
      </c>
      <c r="I604">
        <v>0</v>
      </c>
      <c r="J604" t="s">
        <v>125</v>
      </c>
      <c r="K604" s="9">
        <v>6.822</v>
      </c>
      <c r="L604" s="9">
        <v>-0.469</v>
      </c>
      <c r="M604" s="9">
        <v>-0.315</v>
      </c>
      <c r="N604" t="s">
        <v>14</v>
      </c>
      <c r="S604" s="7">
        <v>13.47</v>
      </c>
      <c r="T604" s="7">
        <v>-6.87</v>
      </c>
      <c r="X604" s="10" t="s">
        <v>428</v>
      </c>
      <c r="Y604" s="11" t="s">
        <v>1444</v>
      </c>
      <c r="Z604" t="s">
        <v>430</v>
      </c>
    </row>
    <row r="605" spans="1:26">
      <c r="A605">
        <v>540</v>
      </c>
      <c r="B605" t="s">
        <v>1440</v>
      </c>
      <c r="C605" t="s">
        <v>1441</v>
      </c>
      <c r="D605" t="s">
        <v>1442</v>
      </c>
      <c r="E605" t="s">
        <v>1410</v>
      </c>
      <c r="F605" t="s">
        <v>1443</v>
      </c>
      <c r="G605" t="s">
        <v>112</v>
      </c>
      <c r="H605" t="s">
        <v>10</v>
      </c>
      <c r="I605">
        <v>0</v>
      </c>
      <c r="J605" t="s">
        <v>1445</v>
      </c>
      <c r="K605" s="9">
        <v>8.119</v>
      </c>
      <c r="L605" s="9">
        <v>-0.341</v>
      </c>
      <c r="M605" s="9">
        <v>-0.15</v>
      </c>
      <c r="N605" t="s">
        <v>14</v>
      </c>
      <c r="O605" s="9">
        <v>-0.55</v>
      </c>
      <c r="S605" s="7">
        <v>14.13</v>
      </c>
      <c r="T605" s="7">
        <v>-4.2</v>
      </c>
      <c r="X605" s="10" t="s">
        <v>428</v>
      </c>
      <c r="Y605" s="11" t="s">
        <v>1446</v>
      </c>
      <c r="Z605" t="s">
        <v>430</v>
      </c>
    </row>
    <row r="606" spans="1:26">
      <c r="A606">
        <v>541</v>
      </c>
      <c r="B606" t="s">
        <v>1440</v>
      </c>
      <c r="C606" t="s">
        <v>1441</v>
      </c>
      <c r="D606" t="s">
        <v>1442</v>
      </c>
      <c r="E606" t="s">
        <v>1410</v>
      </c>
      <c r="F606" t="s">
        <v>1443</v>
      </c>
      <c r="G606" t="s">
        <v>116</v>
      </c>
      <c r="H606" t="s">
        <v>10</v>
      </c>
      <c r="I606">
        <v>0</v>
      </c>
      <c r="J606" t="s">
        <v>1447</v>
      </c>
      <c r="K606" s="9">
        <v>8.253</v>
      </c>
      <c r="L606" s="9">
        <v>-0.307</v>
      </c>
      <c r="M606" s="9">
        <v>-0.17</v>
      </c>
      <c r="N606" t="s">
        <v>14</v>
      </c>
      <c r="O606" s="9">
        <v>-0.62</v>
      </c>
      <c r="S606" s="7">
        <v>12.73</v>
      </c>
      <c r="T606" s="7">
        <v>-3.72</v>
      </c>
      <c r="X606" s="10" t="s">
        <v>428</v>
      </c>
      <c r="Y606" s="11" t="s">
        <v>1448</v>
      </c>
      <c r="Z606" t="s">
        <v>430</v>
      </c>
    </row>
    <row r="607" spans="1:26">
      <c r="A607">
        <v>542</v>
      </c>
      <c r="B607" t="s">
        <v>1440</v>
      </c>
      <c r="C607" t="s">
        <v>1441</v>
      </c>
      <c r="D607" t="s">
        <v>1442</v>
      </c>
      <c r="E607" t="s">
        <v>1410</v>
      </c>
      <c r="F607" t="s">
        <v>1443</v>
      </c>
      <c r="G607" t="s">
        <v>120</v>
      </c>
      <c r="H607" t="s">
        <v>10</v>
      </c>
      <c r="I607">
        <v>0</v>
      </c>
      <c r="J607" t="s">
        <v>886</v>
      </c>
      <c r="K607" s="9">
        <v>10.045</v>
      </c>
      <c r="L607" s="9">
        <v>0.194</v>
      </c>
      <c r="M607" s="9">
        <v>0.197</v>
      </c>
      <c r="N607" t="s">
        <v>14</v>
      </c>
      <c r="S607" s="7">
        <v>16.93</v>
      </c>
      <c r="T607" s="7">
        <v>1.93</v>
      </c>
      <c r="X607" s="10" t="s">
        <v>483</v>
      </c>
      <c r="Y607" s="11" t="s">
        <v>1449</v>
      </c>
      <c r="Z607" t="s">
        <v>430</v>
      </c>
    </row>
    <row r="608" spans="1:26">
      <c r="A608">
        <v>543</v>
      </c>
      <c r="B608" t="s">
        <v>1440</v>
      </c>
      <c r="C608" t="s">
        <v>1441</v>
      </c>
      <c r="D608" t="s">
        <v>1442</v>
      </c>
      <c r="E608" t="s">
        <v>1410</v>
      </c>
      <c r="F608" t="s">
        <v>1443</v>
      </c>
      <c r="G608" t="s">
        <v>124</v>
      </c>
      <c r="H608" t="s">
        <v>10</v>
      </c>
      <c r="I608">
        <v>0</v>
      </c>
      <c r="J608" t="s">
        <v>1450</v>
      </c>
      <c r="K608" s="9">
        <v>7.26</v>
      </c>
      <c r="L608" s="9">
        <v>-0.289</v>
      </c>
      <c r="M608" s="9">
        <v>-0.13</v>
      </c>
      <c r="N608" t="s">
        <v>14</v>
      </c>
      <c r="O608" s="9">
        <v>-0.47</v>
      </c>
      <c r="S608" s="7">
        <v>15.84</v>
      </c>
      <c r="T608" s="7">
        <v>-3.98</v>
      </c>
      <c r="X608" s="10" t="s">
        <v>428</v>
      </c>
      <c r="Y608" s="11" t="s">
        <v>1451</v>
      </c>
      <c r="Z608" t="s">
        <v>430</v>
      </c>
    </row>
    <row r="609" spans="1:26">
      <c r="A609">
        <v>544</v>
      </c>
      <c r="B609" t="s">
        <v>1440</v>
      </c>
      <c r="C609" t="s">
        <v>1441</v>
      </c>
      <c r="D609" t="s">
        <v>1442</v>
      </c>
      <c r="E609" t="s">
        <v>1410</v>
      </c>
      <c r="F609" t="s">
        <v>1443</v>
      </c>
      <c r="G609" t="s">
        <v>128</v>
      </c>
      <c r="H609" t="s">
        <v>10</v>
      </c>
      <c r="I609">
        <v>0</v>
      </c>
      <c r="J609" t="s">
        <v>243</v>
      </c>
      <c r="K609" s="9">
        <v>8.204000000000001</v>
      </c>
      <c r="L609" s="9">
        <v>0.527</v>
      </c>
      <c r="M609" s="9">
        <v>1.294</v>
      </c>
      <c r="N609" t="s">
        <v>14</v>
      </c>
      <c r="O609" s="9">
        <v>4.65</v>
      </c>
      <c r="S609" s="7">
        <v>20.75</v>
      </c>
      <c r="T609" s="7">
        <v>6.42</v>
      </c>
      <c r="X609" s="10" t="s">
        <v>428</v>
      </c>
      <c r="Y609" s="11" t="s">
        <v>1452</v>
      </c>
      <c r="Z609" t="s">
        <v>430</v>
      </c>
    </row>
    <row r="610" spans="1:26">
      <c r="A610">
        <v>545</v>
      </c>
      <c r="B610" t="s">
        <v>1440</v>
      </c>
      <c r="C610" t="s">
        <v>1441</v>
      </c>
      <c r="D610" t="s">
        <v>1442</v>
      </c>
      <c r="E610" t="s">
        <v>1410</v>
      </c>
      <c r="F610" t="s">
        <v>1443</v>
      </c>
      <c r="G610" t="s">
        <v>133</v>
      </c>
      <c r="H610" t="s">
        <v>10</v>
      </c>
      <c r="I610">
        <v>0</v>
      </c>
      <c r="J610" t="s">
        <v>1453</v>
      </c>
      <c r="K610" s="9">
        <v>8.913</v>
      </c>
      <c r="L610" s="9">
        <v>-0.359</v>
      </c>
      <c r="M610" s="9">
        <v>-0.096</v>
      </c>
      <c r="N610" t="s">
        <v>14</v>
      </c>
      <c r="O610" s="9">
        <v>-0.35</v>
      </c>
      <c r="S610" s="7">
        <v>12.44</v>
      </c>
      <c r="T610" s="7">
        <v>-4.03</v>
      </c>
      <c r="X610" s="10" t="s">
        <v>428</v>
      </c>
      <c r="Y610" s="11" t="s">
        <v>1454</v>
      </c>
      <c r="Z610" t="s">
        <v>430</v>
      </c>
    </row>
    <row r="611" spans="1:26">
      <c r="A611">
        <v>546</v>
      </c>
      <c r="B611" t="s">
        <v>1440</v>
      </c>
      <c r="C611" t="s">
        <v>1441</v>
      </c>
      <c r="D611" t="s">
        <v>1442</v>
      </c>
      <c r="E611" t="s">
        <v>1410</v>
      </c>
      <c r="F611" t="s">
        <v>1443</v>
      </c>
      <c r="G611" t="s">
        <v>137</v>
      </c>
      <c r="H611" t="s">
        <v>10</v>
      </c>
      <c r="I611">
        <v>0</v>
      </c>
      <c r="J611" t="s">
        <v>886</v>
      </c>
      <c r="K611" s="9">
        <v>10.558</v>
      </c>
      <c r="L611" s="9">
        <v>0.592</v>
      </c>
      <c r="M611" s="9">
        <v>0.484</v>
      </c>
      <c r="N611" t="s">
        <v>14</v>
      </c>
      <c r="S611" s="7">
        <v>20.12</v>
      </c>
      <c r="T611" s="7">
        <v>5.61</v>
      </c>
      <c r="X611" s="10" t="s">
        <v>483</v>
      </c>
      <c r="Y611" s="11" t="s">
        <v>1449</v>
      </c>
      <c r="Z611" t="s">
        <v>430</v>
      </c>
    </row>
    <row r="612" spans="1:26">
      <c r="A612">
        <v>547</v>
      </c>
      <c r="B612" t="s">
        <v>1440</v>
      </c>
      <c r="C612" t="s">
        <v>1441</v>
      </c>
      <c r="D612" t="s">
        <v>1442</v>
      </c>
      <c r="E612" t="s">
        <v>1410</v>
      </c>
      <c r="F612" t="s">
        <v>1443</v>
      </c>
      <c r="G612" t="s">
        <v>141</v>
      </c>
      <c r="H612" t="s">
        <v>10</v>
      </c>
      <c r="I612">
        <v>0</v>
      </c>
      <c r="J612" t="s">
        <v>1455</v>
      </c>
      <c r="K612" s="9">
        <v>8.032</v>
      </c>
      <c r="L612" s="9">
        <v>0.043</v>
      </c>
      <c r="M612" s="9">
        <v>0.254</v>
      </c>
      <c r="N612" t="s">
        <v>14</v>
      </c>
      <c r="O612" s="9">
        <v>0.91</v>
      </c>
      <c r="S612" s="7">
        <v>18.3</v>
      </c>
      <c r="T612" s="7">
        <v>0.54</v>
      </c>
      <c r="X612" s="10" t="s">
        <v>428</v>
      </c>
      <c r="Y612" s="11" t="s">
        <v>1456</v>
      </c>
      <c r="Z612" t="s">
        <v>430</v>
      </c>
    </row>
    <row r="613" spans="1:26">
      <c r="A613">
        <v>548</v>
      </c>
      <c r="B613" t="s">
        <v>1440</v>
      </c>
      <c r="C613" t="s">
        <v>1441</v>
      </c>
      <c r="D613" t="s">
        <v>1442</v>
      </c>
      <c r="E613" t="s">
        <v>1410</v>
      </c>
      <c r="F613" t="s">
        <v>1443</v>
      </c>
      <c r="G613" t="s">
        <v>146</v>
      </c>
      <c r="H613" t="s">
        <v>10</v>
      </c>
      <c r="I613">
        <v>0</v>
      </c>
      <c r="J613" t="s">
        <v>1457</v>
      </c>
      <c r="K613" s="9">
        <v>9.111000000000001</v>
      </c>
      <c r="L613" s="9">
        <v>0.378</v>
      </c>
      <c r="M613" s="9">
        <v>0.514</v>
      </c>
      <c r="N613" t="s">
        <v>14</v>
      </c>
      <c r="O613" s="9">
        <v>1.86</v>
      </c>
      <c r="S613" s="7">
        <v>20.26</v>
      </c>
      <c r="T613" s="7">
        <v>4.15</v>
      </c>
      <c r="X613" s="10" t="s">
        <v>428</v>
      </c>
      <c r="Y613" s="11" t="s">
        <v>1458</v>
      </c>
      <c r="Z613" t="s">
        <v>430</v>
      </c>
    </row>
    <row r="614" spans="1:26">
      <c r="A614">
        <v>549</v>
      </c>
      <c r="B614" t="s">
        <v>1440</v>
      </c>
      <c r="C614" t="s">
        <v>1441</v>
      </c>
      <c r="D614" t="s">
        <v>1442</v>
      </c>
      <c r="E614" t="s">
        <v>1410</v>
      </c>
      <c r="F614" t="s">
        <v>1443</v>
      </c>
      <c r="G614" t="s">
        <v>472</v>
      </c>
      <c r="H614" t="s">
        <v>10</v>
      </c>
      <c r="I614">
        <v>0</v>
      </c>
      <c r="J614" t="s">
        <v>1453</v>
      </c>
      <c r="K614" s="9">
        <v>9.968999999999999</v>
      </c>
      <c r="L614" s="9">
        <v>0.366</v>
      </c>
      <c r="M614" s="9">
        <v>0.452</v>
      </c>
      <c r="N614" t="s">
        <v>14</v>
      </c>
      <c r="O614" s="9">
        <v>1.64</v>
      </c>
      <c r="S614" s="7">
        <v>19.03</v>
      </c>
      <c r="T614" s="7">
        <v>3.67</v>
      </c>
      <c r="X614" s="10" t="s">
        <v>428</v>
      </c>
      <c r="Y614" s="11" t="s">
        <v>1454</v>
      </c>
      <c r="Z614" t="s">
        <v>430</v>
      </c>
    </row>
    <row r="615" spans="1:26">
      <c r="A615">
        <v>550</v>
      </c>
      <c r="B615" t="s">
        <v>1440</v>
      </c>
      <c r="C615" t="s">
        <v>1441</v>
      </c>
      <c r="D615" t="s">
        <v>1442</v>
      </c>
      <c r="E615" t="s">
        <v>1410</v>
      </c>
      <c r="F615" t="s">
        <v>1443</v>
      </c>
      <c r="G615" t="s">
        <v>475</v>
      </c>
      <c r="H615" t="s">
        <v>10</v>
      </c>
      <c r="I615">
        <v>0</v>
      </c>
      <c r="J615" t="s">
        <v>886</v>
      </c>
      <c r="K615" s="9">
        <v>10.956</v>
      </c>
      <c r="L615" s="9">
        <v>0.601</v>
      </c>
      <c r="M615" s="9">
        <v>3.664</v>
      </c>
      <c r="N615" t="s">
        <v>14</v>
      </c>
      <c r="S615" s="7">
        <v>21.19</v>
      </c>
      <c r="T615" s="7">
        <v>5.49</v>
      </c>
      <c r="X615" s="10" t="s">
        <v>483</v>
      </c>
      <c r="Y615" s="11" t="s">
        <v>1449</v>
      </c>
      <c r="Z615" t="s">
        <v>430</v>
      </c>
    </row>
    <row r="616" spans="1:26">
      <c r="A616">
        <v>551</v>
      </c>
      <c r="B616" t="s">
        <v>1440</v>
      </c>
      <c r="C616" t="s">
        <v>1441</v>
      </c>
      <c r="D616" t="s">
        <v>1442</v>
      </c>
      <c r="E616" t="s">
        <v>1410</v>
      </c>
      <c r="F616" t="s">
        <v>1443</v>
      </c>
      <c r="G616" t="s">
        <v>150</v>
      </c>
      <c r="H616" t="s">
        <v>10</v>
      </c>
      <c r="I616">
        <v>0</v>
      </c>
      <c r="J616" t="s">
        <v>1455</v>
      </c>
      <c r="K616" s="9">
        <v>9.339</v>
      </c>
      <c r="L616" s="9">
        <v>0.179</v>
      </c>
      <c r="M616" s="9">
        <v>4.745</v>
      </c>
      <c r="N616" t="s">
        <v>14</v>
      </c>
      <c r="O616" s="9">
        <v>17.44</v>
      </c>
      <c r="S616" s="7">
        <v>19.07</v>
      </c>
      <c r="T616" s="7">
        <v>1.92</v>
      </c>
      <c r="X616" s="10" t="s">
        <v>428</v>
      </c>
      <c r="Y616" s="11" t="s">
        <v>1456</v>
      </c>
      <c r="Z616" t="s">
        <v>430</v>
      </c>
    </row>
    <row r="617" spans="1:26">
      <c r="A617">
        <v>552</v>
      </c>
      <c r="B617" t="s">
        <v>1440</v>
      </c>
      <c r="C617" t="s">
        <v>1441</v>
      </c>
      <c r="D617" t="s">
        <v>1442</v>
      </c>
      <c r="E617" t="s">
        <v>1410</v>
      </c>
      <c r="F617" t="s">
        <v>1443</v>
      </c>
      <c r="G617" t="s">
        <v>155</v>
      </c>
      <c r="H617" t="s">
        <v>10</v>
      </c>
      <c r="I617">
        <v>0</v>
      </c>
      <c r="J617" t="s">
        <v>1457</v>
      </c>
      <c r="K617" s="9">
        <v>11.104</v>
      </c>
      <c r="L617" s="9">
        <v>0.653</v>
      </c>
      <c r="M617" s="9">
        <v>0.668</v>
      </c>
      <c r="N617" t="s">
        <v>14</v>
      </c>
      <c r="O617" s="9">
        <v>2.47</v>
      </c>
      <c r="S617" s="7">
        <v>21.25</v>
      </c>
      <c r="T617" s="7">
        <v>5.88</v>
      </c>
      <c r="X617" s="10" t="s">
        <v>428</v>
      </c>
      <c r="Y617" s="11" t="s">
        <v>1458</v>
      </c>
      <c r="Z617" t="s">
        <v>430</v>
      </c>
    </row>
    <row r="618" spans="1:26">
      <c r="A618">
        <v>372</v>
      </c>
      <c r="B618" t="s">
        <v>1459</v>
      </c>
      <c r="C618" t="s">
        <v>1460</v>
      </c>
      <c r="D618" t="s">
        <v>1461</v>
      </c>
      <c r="E618" t="s">
        <v>1410</v>
      </c>
      <c r="F618" t="s">
        <v>1462</v>
      </c>
      <c r="G618" t="s">
        <v>50</v>
      </c>
      <c r="H618" t="s">
        <v>10</v>
      </c>
      <c r="I618">
        <v>0</v>
      </c>
      <c r="J618" t="s">
        <v>1463</v>
      </c>
      <c r="K618" s="9">
        <v>0.8973</v>
      </c>
      <c r="L618" s="9">
        <v>-0.0122</v>
      </c>
      <c r="M618" s="9">
        <v>-0.2083</v>
      </c>
      <c r="N618" t="s">
        <v>14</v>
      </c>
      <c r="O618" s="9">
        <v>-0.87</v>
      </c>
      <c r="T618" s="7">
        <v>-1.36</v>
      </c>
      <c r="X618" s="10" t="s">
        <v>428</v>
      </c>
      <c r="Y618" s="11" t="s">
        <v>1464</v>
      </c>
      <c r="Z618" t="s">
        <v>522</v>
      </c>
    </row>
    <row r="619" spans="1:26">
      <c r="A619">
        <v>373</v>
      </c>
      <c r="B619" t="s">
        <v>1459</v>
      </c>
      <c r="C619" t="s">
        <v>1460</v>
      </c>
      <c r="D619" t="s">
        <v>1461</v>
      </c>
      <c r="E619" t="s">
        <v>1410</v>
      </c>
      <c r="F619" t="s">
        <v>1462</v>
      </c>
      <c r="G619" t="s">
        <v>57</v>
      </c>
      <c r="H619" t="s">
        <v>10</v>
      </c>
      <c r="I619">
        <v>0</v>
      </c>
      <c r="J619" t="s">
        <v>1465</v>
      </c>
      <c r="K619" s="9">
        <v>1.0057</v>
      </c>
      <c r="L619" s="9">
        <v>0.0706</v>
      </c>
      <c r="M619" s="9">
        <v>-0.056</v>
      </c>
      <c r="N619" t="s">
        <v>14</v>
      </c>
      <c r="O619" s="9">
        <v>-0.17</v>
      </c>
      <c r="T619" s="7">
        <v>7.02</v>
      </c>
      <c r="X619" s="10" t="s">
        <v>428</v>
      </c>
      <c r="Y619" s="11" t="s">
        <v>1466</v>
      </c>
      <c r="Z619" t="s">
        <v>522</v>
      </c>
    </row>
    <row r="620" spans="1:26">
      <c r="A620">
        <v>374</v>
      </c>
      <c r="B620" t="s">
        <v>1459</v>
      </c>
      <c r="C620" t="s">
        <v>1460</v>
      </c>
      <c r="D620" t="s">
        <v>1461</v>
      </c>
      <c r="E620" t="s">
        <v>1410</v>
      </c>
      <c r="F620" t="s">
        <v>1462</v>
      </c>
      <c r="G620" t="s">
        <v>62</v>
      </c>
      <c r="H620" t="s">
        <v>10</v>
      </c>
      <c r="I620">
        <v>0</v>
      </c>
      <c r="J620" t="s">
        <v>1467</v>
      </c>
      <c r="K620" s="9">
        <v>1.162</v>
      </c>
      <c r="L620" s="9">
        <v>0.0351</v>
      </c>
      <c r="M620" s="9">
        <v>-0.1035</v>
      </c>
      <c r="N620" t="s">
        <v>14</v>
      </c>
      <c r="O620" s="9">
        <v>-0.32</v>
      </c>
      <c r="T620" s="7">
        <v>3.02</v>
      </c>
      <c r="X620" s="10" t="s">
        <v>428</v>
      </c>
      <c r="Y620" s="11" t="s">
        <v>1468</v>
      </c>
      <c r="Z620" t="s">
        <v>522</v>
      </c>
    </row>
    <row r="621" spans="1:26">
      <c r="A621">
        <v>375</v>
      </c>
      <c r="B621" t="s">
        <v>1459</v>
      </c>
      <c r="C621" t="s">
        <v>1460</v>
      </c>
      <c r="D621" t="s">
        <v>1461</v>
      </c>
      <c r="E621" t="s">
        <v>1410</v>
      </c>
      <c r="F621" t="s">
        <v>1462</v>
      </c>
      <c r="G621" t="s">
        <v>66</v>
      </c>
      <c r="H621" t="s">
        <v>10</v>
      </c>
      <c r="I621">
        <v>0</v>
      </c>
      <c r="J621" t="s">
        <v>482</v>
      </c>
      <c r="K621" s="9">
        <v>1.3056</v>
      </c>
      <c r="L621" s="9">
        <v>0.12</v>
      </c>
      <c r="M621" s="9">
        <v>0.0405</v>
      </c>
      <c r="N621" t="s">
        <v>14</v>
      </c>
      <c r="T621" s="7">
        <v>9.19</v>
      </c>
      <c r="X621" s="10" t="s">
        <v>436</v>
      </c>
      <c r="Y621" s="11" t="s">
        <v>1469</v>
      </c>
      <c r="Z621" t="s">
        <v>522</v>
      </c>
    </row>
    <row r="622" spans="1:26">
      <c r="A622">
        <v>376</v>
      </c>
      <c r="B622" t="s">
        <v>1459</v>
      </c>
      <c r="C622" t="s">
        <v>1460</v>
      </c>
      <c r="D622" t="s">
        <v>1461</v>
      </c>
      <c r="E622" t="s">
        <v>1410</v>
      </c>
      <c r="F622" t="s">
        <v>1462</v>
      </c>
      <c r="G622" t="s">
        <v>71</v>
      </c>
      <c r="H622" t="s">
        <v>10</v>
      </c>
      <c r="I622">
        <v>0</v>
      </c>
      <c r="J622" t="s">
        <v>1470</v>
      </c>
      <c r="K622" s="9">
        <v>1.0984</v>
      </c>
      <c r="L622" s="9">
        <v>0.0798</v>
      </c>
      <c r="M622" s="9">
        <v>0.0317</v>
      </c>
      <c r="N622" t="s">
        <v>14</v>
      </c>
      <c r="O622" s="9">
        <v>0.09</v>
      </c>
      <c r="T622" s="7">
        <v>7.27</v>
      </c>
      <c r="X622" s="10" t="s">
        <v>428</v>
      </c>
      <c r="Y622" s="11" t="s">
        <v>1471</v>
      </c>
      <c r="Z622" t="s">
        <v>522</v>
      </c>
    </row>
    <row r="623" spans="1:26">
      <c r="A623">
        <v>377</v>
      </c>
      <c r="B623" t="s">
        <v>1459</v>
      </c>
      <c r="C623" t="s">
        <v>1460</v>
      </c>
      <c r="D623" t="s">
        <v>1461</v>
      </c>
      <c r="E623" t="s">
        <v>1410</v>
      </c>
      <c r="F623" t="s">
        <v>1462</v>
      </c>
      <c r="G623" t="s">
        <v>75</v>
      </c>
      <c r="H623" t="s">
        <v>10</v>
      </c>
      <c r="I623">
        <v>0</v>
      </c>
      <c r="J623" t="s">
        <v>487</v>
      </c>
      <c r="K623" s="9">
        <v>1.2603</v>
      </c>
      <c r="L623" s="9">
        <v>0.1022</v>
      </c>
      <c r="M623" s="9">
        <v>0.0097</v>
      </c>
      <c r="N623" t="s">
        <v>14</v>
      </c>
      <c r="O623" s="9">
        <v>0.03</v>
      </c>
      <c r="T623" s="7">
        <v>8.109999999999999</v>
      </c>
      <c r="X623" s="10" t="s">
        <v>428</v>
      </c>
      <c r="Y623" s="11" t="s">
        <v>1472</v>
      </c>
      <c r="Z623" t="s">
        <v>522</v>
      </c>
    </row>
    <row r="624" spans="1:26">
      <c r="A624">
        <v>378</v>
      </c>
      <c r="B624" t="s">
        <v>1459</v>
      </c>
      <c r="C624" t="s">
        <v>1460</v>
      </c>
      <c r="D624" t="s">
        <v>1461</v>
      </c>
      <c r="E624" t="s">
        <v>1410</v>
      </c>
      <c r="F624" t="s">
        <v>1462</v>
      </c>
      <c r="G624" t="s">
        <v>80</v>
      </c>
      <c r="H624" t="s">
        <v>10</v>
      </c>
      <c r="I624">
        <v>0</v>
      </c>
      <c r="J624" t="s">
        <v>1473</v>
      </c>
      <c r="K624" s="9">
        <v>1.2289</v>
      </c>
      <c r="L624" s="9">
        <v>0.0818</v>
      </c>
      <c r="M624" s="9">
        <v>0.0562</v>
      </c>
      <c r="N624" t="s">
        <v>14</v>
      </c>
      <c r="O624" s="9">
        <v>0.15</v>
      </c>
      <c r="T624" s="7">
        <v>6.66</v>
      </c>
      <c r="X624" s="10" t="s">
        <v>428</v>
      </c>
      <c r="Y624" s="11" t="s">
        <v>1474</v>
      </c>
      <c r="Z624" t="s">
        <v>522</v>
      </c>
    </row>
    <row r="625" spans="1:26">
      <c r="A625">
        <v>379</v>
      </c>
      <c r="B625" t="s">
        <v>1459</v>
      </c>
      <c r="C625" t="s">
        <v>1460</v>
      </c>
      <c r="D625" t="s">
        <v>1461</v>
      </c>
      <c r="E625" t="s">
        <v>1410</v>
      </c>
      <c r="F625" t="s">
        <v>1462</v>
      </c>
      <c r="G625" t="s">
        <v>85</v>
      </c>
      <c r="H625" t="s">
        <v>10</v>
      </c>
      <c r="I625">
        <v>0</v>
      </c>
      <c r="J625" t="s">
        <v>1475</v>
      </c>
      <c r="K625" s="9">
        <v>1.4105</v>
      </c>
      <c r="L625" s="9">
        <v>-0.0039</v>
      </c>
      <c r="M625" s="9">
        <v>0.022</v>
      </c>
      <c r="N625" t="s">
        <v>14</v>
      </c>
      <c r="T625" s="7">
        <v>-0.28</v>
      </c>
      <c r="X625" s="10" t="s">
        <v>436</v>
      </c>
      <c r="Y625" s="11" t="s">
        <v>1476</v>
      </c>
      <c r="Z625" t="s">
        <v>522</v>
      </c>
    </row>
    <row r="626" spans="1:26">
      <c r="A626">
        <v>380</v>
      </c>
      <c r="B626" t="s">
        <v>1459</v>
      </c>
      <c r="C626" t="s">
        <v>1460</v>
      </c>
      <c r="D626" t="s">
        <v>1461</v>
      </c>
      <c r="E626" t="s">
        <v>1410</v>
      </c>
      <c r="F626" t="s">
        <v>1462</v>
      </c>
      <c r="G626" t="s">
        <v>89</v>
      </c>
      <c r="H626" t="s">
        <v>10</v>
      </c>
      <c r="I626">
        <v>0</v>
      </c>
      <c r="J626" t="s">
        <v>601</v>
      </c>
      <c r="K626" s="9">
        <v>1.1564</v>
      </c>
      <c r="L626" s="9">
        <v>-0.0452</v>
      </c>
      <c r="M626" s="9">
        <v>0.008500000000000001</v>
      </c>
      <c r="N626" t="s">
        <v>14</v>
      </c>
      <c r="O626" s="9">
        <v>-0.23</v>
      </c>
      <c r="T626" s="7">
        <v>-3.91</v>
      </c>
      <c r="X626" s="10" t="s">
        <v>428</v>
      </c>
      <c r="Y626" s="11" t="s">
        <v>1477</v>
      </c>
      <c r="Z626" t="s">
        <v>522</v>
      </c>
    </row>
    <row r="627" spans="1:26">
      <c r="A627">
        <v>381</v>
      </c>
      <c r="B627" t="s">
        <v>1459</v>
      </c>
      <c r="C627" t="s">
        <v>1460</v>
      </c>
      <c r="D627" t="s">
        <v>1461</v>
      </c>
      <c r="E627" t="s">
        <v>1410</v>
      </c>
      <c r="F627" t="s">
        <v>1462</v>
      </c>
      <c r="G627" t="s">
        <v>93</v>
      </c>
      <c r="H627" t="s">
        <v>10</v>
      </c>
      <c r="I627">
        <v>0</v>
      </c>
      <c r="J627" t="s">
        <v>495</v>
      </c>
      <c r="K627" s="9">
        <v>1.3994</v>
      </c>
      <c r="L627" s="9">
        <v>0.0262</v>
      </c>
      <c r="M627" s="9">
        <v>0.0203</v>
      </c>
      <c r="N627" t="s">
        <v>14</v>
      </c>
      <c r="O627" s="9">
        <v>0.05</v>
      </c>
      <c r="T627" s="7">
        <v>1.87</v>
      </c>
      <c r="X627" s="10" t="s">
        <v>428</v>
      </c>
      <c r="Y627" s="11" t="s">
        <v>1478</v>
      </c>
      <c r="Z627" t="s">
        <v>522</v>
      </c>
    </row>
    <row r="628" spans="1:26">
      <c r="A628">
        <v>382</v>
      </c>
      <c r="B628" t="s">
        <v>1459</v>
      </c>
      <c r="C628" t="s">
        <v>1460</v>
      </c>
      <c r="D628" t="s">
        <v>1461</v>
      </c>
      <c r="E628" t="s">
        <v>1410</v>
      </c>
      <c r="F628" t="s">
        <v>1462</v>
      </c>
      <c r="G628" t="s">
        <v>98</v>
      </c>
      <c r="H628" t="s">
        <v>10</v>
      </c>
      <c r="I628">
        <v>0</v>
      </c>
      <c r="J628" t="s">
        <v>605</v>
      </c>
      <c r="K628" s="9">
        <v>1.4811</v>
      </c>
      <c r="L628" s="9">
        <v>0.08</v>
      </c>
      <c r="M628" s="9">
        <v>0.0212</v>
      </c>
      <c r="N628" t="s">
        <v>14</v>
      </c>
      <c r="O628" s="9">
        <v>0.06</v>
      </c>
      <c r="T628" s="7">
        <v>5.4</v>
      </c>
      <c r="X628" s="10" t="s">
        <v>428</v>
      </c>
      <c r="Y628" s="11" t="s">
        <v>1479</v>
      </c>
      <c r="Z628" t="s">
        <v>522</v>
      </c>
    </row>
    <row r="629" spans="1:26">
      <c r="A629">
        <v>383</v>
      </c>
      <c r="B629" t="s">
        <v>1459</v>
      </c>
      <c r="C629" t="s">
        <v>1460</v>
      </c>
      <c r="D629" t="s">
        <v>1461</v>
      </c>
      <c r="E629" t="s">
        <v>1410</v>
      </c>
      <c r="F629" t="s">
        <v>1462</v>
      </c>
      <c r="G629" t="s">
        <v>103</v>
      </c>
      <c r="H629" t="s">
        <v>10</v>
      </c>
      <c r="I629">
        <v>0</v>
      </c>
      <c r="J629" t="s">
        <v>1480</v>
      </c>
      <c r="K629" s="9">
        <v>1.6546</v>
      </c>
      <c r="L629" s="9">
        <v>0.1624</v>
      </c>
      <c r="M629" s="9">
        <v>0.0266</v>
      </c>
      <c r="N629" t="s">
        <v>14</v>
      </c>
      <c r="T629" s="7">
        <v>9.82</v>
      </c>
      <c r="X629" s="10" t="s">
        <v>436</v>
      </c>
      <c r="Y629" s="11" t="s">
        <v>1481</v>
      </c>
      <c r="Z629" t="s">
        <v>522</v>
      </c>
    </row>
    <row r="630" spans="1:26">
      <c r="A630">
        <v>384</v>
      </c>
      <c r="B630" t="s">
        <v>1459</v>
      </c>
      <c r="C630" t="s">
        <v>1460</v>
      </c>
      <c r="D630" t="s">
        <v>1461</v>
      </c>
      <c r="E630" t="s">
        <v>1410</v>
      </c>
      <c r="F630" t="s">
        <v>1462</v>
      </c>
      <c r="G630" t="s">
        <v>107</v>
      </c>
      <c r="H630" t="s">
        <v>10</v>
      </c>
      <c r="I630">
        <v>0</v>
      </c>
      <c r="J630" t="s">
        <v>609</v>
      </c>
      <c r="K630" s="9">
        <v>1.5211</v>
      </c>
      <c r="L630" s="9">
        <v>0.1303</v>
      </c>
      <c r="M630" s="9">
        <v>0.0503</v>
      </c>
      <c r="N630" t="s">
        <v>14</v>
      </c>
      <c r="O630" s="9">
        <v>0.12</v>
      </c>
      <c r="T630" s="7">
        <v>8.57</v>
      </c>
      <c r="X630" s="10" t="s">
        <v>428</v>
      </c>
      <c r="Y630" s="11" t="s">
        <v>1482</v>
      </c>
      <c r="Z630" t="s">
        <v>522</v>
      </c>
    </row>
    <row r="631" spans="1:26">
      <c r="A631">
        <v>385</v>
      </c>
      <c r="B631" t="s">
        <v>1459</v>
      </c>
      <c r="C631" t="s">
        <v>1460</v>
      </c>
      <c r="D631" t="s">
        <v>1461</v>
      </c>
      <c r="E631" t="s">
        <v>1410</v>
      </c>
      <c r="F631" t="s">
        <v>1462</v>
      </c>
      <c r="G631" t="s">
        <v>112</v>
      </c>
      <c r="H631" t="s">
        <v>10</v>
      </c>
      <c r="I631">
        <v>0</v>
      </c>
      <c r="J631" t="s">
        <v>1483</v>
      </c>
      <c r="K631" s="9">
        <v>1.7341</v>
      </c>
      <c r="L631" s="9">
        <v>0.2058</v>
      </c>
      <c r="M631" s="9">
        <v>0.0832</v>
      </c>
      <c r="N631" t="s">
        <v>14</v>
      </c>
      <c r="O631" s="9">
        <v>0.22</v>
      </c>
      <c r="T631" s="7">
        <v>11.87</v>
      </c>
      <c r="X631" s="10" t="s">
        <v>428</v>
      </c>
      <c r="Y631" s="11" t="s">
        <v>1484</v>
      </c>
      <c r="Z631" t="s">
        <v>522</v>
      </c>
    </row>
    <row r="632" spans="1:26">
      <c r="A632">
        <v>386</v>
      </c>
      <c r="B632" t="s">
        <v>1459</v>
      </c>
      <c r="C632" t="s">
        <v>1460</v>
      </c>
      <c r="D632" t="s">
        <v>1461</v>
      </c>
      <c r="E632" t="s">
        <v>1410</v>
      </c>
      <c r="F632" t="s">
        <v>1462</v>
      </c>
      <c r="G632" t="s">
        <v>116</v>
      </c>
      <c r="H632" t="s">
        <v>10</v>
      </c>
      <c r="I632">
        <v>0</v>
      </c>
      <c r="J632" t="s">
        <v>1485</v>
      </c>
      <c r="K632" s="9">
        <v>1.7426</v>
      </c>
      <c r="L632" s="9">
        <v>0.2509</v>
      </c>
      <c r="M632" s="9">
        <v>0.0941</v>
      </c>
      <c r="N632" t="s">
        <v>14</v>
      </c>
      <c r="O632" s="9">
        <v>0.24</v>
      </c>
      <c r="T632" s="7">
        <v>14.4</v>
      </c>
      <c r="X632" s="10" t="s">
        <v>428</v>
      </c>
      <c r="Y632" s="11" t="s">
        <v>1486</v>
      </c>
      <c r="Z632" t="s">
        <v>522</v>
      </c>
    </row>
    <row r="633" spans="1:26">
      <c r="A633">
        <v>387</v>
      </c>
      <c r="B633" t="s">
        <v>1459</v>
      </c>
      <c r="C633" t="s">
        <v>1460</v>
      </c>
      <c r="D633" t="s">
        <v>1461</v>
      </c>
      <c r="E633" t="s">
        <v>1410</v>
      </c>
      <c r="F633" t="s">
        <v>1462</v>
      </c>
      <c r="G633" t="s">
        <v>120</v>
      </c>
      <c r="H633" t="s">
        <v>10</v>
      </c>
      <c r="I633">
        <v>0</v>
      </c>
      <c r="J633" t="s">
        <v>1487</v>
      </c>
      <c r="K633" s="9">
        <v>1.8654</v>
      </c>
      <c r="L633" s="9">
        <v>0.2852</v>
      </c>
      <c r="M633" s="9">
        <v>0.2326</v>
      </c>
      <c r="N633" t="s">
        <v>14</v>
      </c>
      <c r="T633" s="7">
        <v>15.29</v>
      </c>
      <c r="X633" s="10" t="s">
        <v>436</v>
      </c>
      <c r="Y633" s="11" t="s">
        <v>1488</v>
      </c>
      <c r="Z633" t="s">
        <v>522</v>
      </c>
    </row>
    <row r="634" spans="1:26">
      <c r="A634">
        <v>388</v>
      </c>
      <c r="B634" t="s">
        <v>1459</v>
      </c>
      <c r="C634" t="s">
        <v>1460</v>
      </c>
      <c r="D634" t="s">
        <v>1461</v>
      </c>
      <c r="E634" t="s">
        <v>1410</v>
      </c>
      <c r="F634" t="s">
        <v>1462</v>
      </c>
      <c r="G634" t="s">
        <v>124</v>
      </c>
      <c r="H634" t="s">
        <v>10</v>
      </c>
      <c r="I634">
        <v>0</v>
      </c>
      <c r="J634" t="s">
        <v>1450</v>
      </c>
      <c r="K634" s="9">
        <v>1.6391</v>
      </c>
      <c r="L634" s="9">
        <v>0.2026</v>
      </c>
      <c r="M634" s="9">
        <v>-0.0059</v>
      </c>
      <c r="N634" t="s">
        <v>14</v>
      </c>
      <c r="O634" s="9">
        <v>-0.02</v>
      </c>
      <c r="T634" s="7">
        <v>12.36</v>
      </c>
      <c r="X634" s="10" t="s">
        <v>428</v>
      </c>
      <c r="Y634" s="11" t="s">
        <v>1489</v>
      </c>
      <c r="Z634" t="s">
        <v>522</v>
      </c>
    </row>
    <row r="635" spans="1:26">
      <c r="A635">
        <v>389</v>
      </c>
      <c r="B635" t="s">
        <v>1459</v>
      </c>
      <c r="C635" t="s">
        <v>1460</v>
      </c>
      <c r="D635" t="s">
        <v>1461</v>
      </c>
      <c r="E635" t="s">
        <v>1410</v>
      </c>
      <c r="F635" t="s">
        <v>1462</v>
      </c>
      <c r="G635" t="s">
        <v>128</v>
      </c>
      <c r="H635" t="s">
        <v>10</v>
      </c>
      <c r="I635">
        <v>0</v>
      </c>
      <c r="J635" t="s">
        <v>329</v>
      </c>
      <c r="K635" s="9">
        <v>1.9528</v>
      </c>
      <c r="L635" s="9">
        <v>0.336</v>
      </c>
      <c r="M635" s="9">
        <v>0.1781</v>
      </c>
      <c r="N635" t="s">
        <v>14</v>
      </c>
      <c r="O635" s="9">
        <v>0.46</v>
      </c>
      <c r="T635" s="7">
        <v>17.21</v>
      </c>
      <c r="X635" s="10" t="s">
        <v>428</v>
      </c>
      <c r="Y635" s="11" t="s">
        <v>1490</v>
      </c>
      <c r="Z635" t="s">
        <v>522</v>
      </c>
    </row>
    <row r="636" spans="1:26">
      <c r="A636">
        <v>390</v>
      </c>
      <c r="B636" t="s">
        <v>1459</v>
      </c>
      <c r="C636" t="s">
        <v>1460</v>
      </c>
      <c r="D636" t="s">
        <v>1461</v>
      </c>
      <c r="E636" t="s">
        <v>1410</v>
      </c>
      <c r="F636" t="s">
        <v>1462</v>
      </c>
      <c r="G636" t="s">
        <v>133</v>
      </c>
      <c r="H636" t="s">
        <v>10</v>
      </c>
      <c r="I636">
        <v>0</v>
      </c>
      <c r="J636" t="s">
        <v>1453</v>
      </c>
      <c r="K636" s="9">
        <v>2.0735</v>
      </c>
      <c r="L636" s="9">
        <v>0.3716</v>
      </c>
      <c r="M636" s="9">
        <v>0.1766</v>
      </c>
      <c r="N636" t="s">
        <v>14</v>
      </c>
      <c r="O636" s="9">
        <v>0.46</v>
      </c>
      <c r="T636" s="7">
        <v>17.92</v>
      </c>
      <c r="X636" s="10" t="s">
        <v>428</v>
      </c>
      <c r="Y636" s="11" t="s">
        <v>1491</v>
      </c>
      <c r="Z636" t="s">
        <v>522</v>
      </c>
    </row>
    <row r="637" spans="1:26">
      <c r="A637">
        <v>391</v>
      </c>
      <c r="B637" t="s">
        <v>1459</v>
      </c>
      <c r="C637" t="s">
        <v>1460</v>
      </c>
      <c r="D637" t="s">
        <v>1461</v>
      </c>
      <c r="E637" t="s">
        <v>1410</v>
      </c>
      <c r="F637" t="s">
        <v>1462</v>
      </c>
      <c r="G637" t="s">
        <v>137</v>
      </c>
      <c r="H637" t="s">
        <v>10</v>
      </c>
      <c r="I637">
        <v>0</v>
      </c>
      <c r="J637" t="s">
        <v>1487</v>
      </c>
      <c r="K637" s="9">
        <v>2.3464</v>
      </c>
      <c r="L637" s="9">
        <v>0.4572</v>
      </c>
      <c r="M637" s="9">
        <v>0.147</v>
      </c>
      <c r="N637" t="s">
        <v>14</v>
      </c>
      <c r="T637" s="7">
        <v>19.49</v>
      </c>
      <c r="X637" s="10" t="s">
        <v>436</v>
      </c>
      <c r="Y637" s="11" t="s">
        <v>1488</v>
      </c>
      <c r="Z637" t="s">
        <v>522</v>
      </c>
    </row>
    <row r="638" spans="1:26">
      <c r="A638">
        <v>392</v>
      </c>
      <c r="B638" t="s">
        <v>1459</v>
      </c>
      <c r="C638" t="s">
        <v>1460</v>
      </c>
      <c r="D638" t="s">
        <v>1461</v>
      </c>
      <c r="E638" t="s">
        <v>1410</v>
      </c>
      <c r="F638" t="s">
        <v>1462</v>
      </c>
      <c r="G638" t="s">
        <v>141</v>
      </c>
      <c r="H638" t="s">
        <v>10</v>
      </c>
      <c r="I638">
        <v>0</v>
      </c>
      <c r="J638" t="s">
        <v>1455</v>
      </c>
      <c r="K638" s="9">
        <v>2.036</v>
      </c>
      <c r="L638" s="9">
        <v>0.2907</v>
      </c>
      <c r="M638" s="9">
        <v>0.1645</v>
      </c>
      <c r="N638" t="s">
        <v>14</v>
      </c>
      <c r="O638" s="9">
        <v>0.42</v>
      </c>
      <c r="T638" s="7">
        <v>14.28</v>
      </c>
      <c r="X638" s="10" t="s">
        <v>428</v>
      </c>
      <c r="Y638" s="11" t="s">
        <v>1492</v>
      </c>
      <c r="Z638" t="s">
        <v>522</v>
      </c>
    </row>
    <row r="639" spans="1:26">
      <c r="A639">
        <v>393</v>
      </c>
      <c r="B639" t="s">
        <v>1459</v>
      </c>
      <c r="C639" t="s">
        <v>1460</v>
      </c>
      <c r="D639" t="s">
        <v>1461</v>
      </c>
      <c r="E639" t="s">
        <v>1410</v>
      </c>
      <c r="F639" t="s">
        <v>1462</v>
      </c>
      <c r="G639" t="s">
        <v>146</v>
      </c>
      <c r="H639" t="s">
        <v>10</v>
      </c>
      <c r="I639">
        <v>0</v>
      </c>
      <c r="J639" t="s">
        <v>251</v>
      </c>
      <c r="K639" s="9">
        <v>2.6381</v>
      </c>
      <c r="L639" s="9">
        <v>0.4424</v>
      </c>
      <c r="M639" s="9">
        <v>0.3242</v>
      </c>
      <c r="N639" t="s">
        <v>14</v>
      </c>
      <c r="O639" s="9">
        <v>0.83</v>
      </c>
      <c r="T639" s="7">
        <v>16.77</v>
      </c>
      <c r="X639" s="10" t="s">
        <v>428</v>
      </c>
      <c r="Y639" s="11" t="s">
        <v>1493</v>
      </c>
      <c r="Z639" t="s">
        <v>522</v>
      </c>
    </row>
    <row r="640" spans="1:26">
      <c r="A640">
        <v>394</v>
      </c>
      <c r="B640" t="s">
        <v>1459</v>
      </c>
      <c r="C640" t="s">
        <v>1460</v>
      </c>
      <c r="D640" t="s">
        <v>1461</v>
      </c>
      <c r="E640" t="s">
        <v>1410</v>
      </c>
      <c r="F640" t="s">
        <v>1462</v>
      </c>
      <c r="G640" t="s">
        <v>472</v>
      </c>
      <c r="H640" t="s">
        <v>10</v>
      </c>
      <c r="I640">
        <v>0</v>
      </c>
      <c r="J640" t="s">
        <v>1453</v>
      </c>
      <c r="K640" s="9">
        <v>2.6758</v>
      </c>
      <c r="L640" s="9">
        <v>0.5167</v>
      </c>
      <c r="M640" s="9">
        <v>0.3985</v>
      </c>
      <c r="N640" t="s">
        <v>14</v>
      </c>
      <c r="O640" s="9">
        <v>1.02</v>
      </c>
      <c r="T640" s="7">
        <v>19.31</v>
      </c>
      <c r="X640" s="10" t="s">
        <v>428</v>
      </c>
      <c r="Y640" s="11" t="s">
        <v>1491</v>
      </c>
      <c r="Z640" t="s">
        <v>522</v>
      </c>
    </row>
    <row r="641" spans="1:26">
      <c r="A641">
        <v>395</v>
      </c>
      <c r="B641" t="s">
        <v>1459</v>
      </c>
      <c r="C641" t="s">
        <v>1460</v>
      </c>
      <c r="D641" t="s">
        <v>1461</v>
      </c>
      <c r="E641" t="s">
        <v>1410</v>
      </c>
      <c r="F641" t="s">
        <v>1462</v>
      </c>
      <c r="G641" t="s">
        <v>475</v>
      </c>
      <c r="H641" t="s">
        <v>10</v>
      </c>
      <c r="I641">
        <v>0</v>
      </c>
      <c r="J641" t="s">
        <v>1487</v>
      </c>
      <c r="K641" s="9">
        <v>2.88</v>
      </c>
      <c r="L641" s="9">
        <v>0.5799</v>
      </c>
      <c r="M641" s="9">
        <v>0.4456</v>
      </c>
      <c r="N641" t="s">
        <v>14</v>
      </c>
      <c r="T641" s="7">
        <v>20.14</v>
      </c>
      <c r="X641" s="10" t="s">
        <v>436</v>
      </c>
      <c r="Y641" s="11" t="s">
        <v>1488</v>
      </c>
      <c r="Z641" t="s">
        <v>522</v>
      </c>
    </row>
    <row r="642" spans="1:26">
      <c r="A642">
        <v>396</v>
      </c>
      <c r="B642" t="s">
        <v>1459</v>
      </c>
      <c r="C642" t="s">
        <v>1460</v>
      </c>
      <c r="D642" t="s">
        <v>1461</v>
      </c>
      <c r="E642" t="s">
        <v>1410</v>
      </c>
      <c r="F642" t="s">
        <v>1462</v>
      </c>
      <c r="G642" t="s">
        <v>150</v>
      </c>
      <c r="H642" t="s">
        <v>10</v>
      </c>
      <c r="I642">
        <v>0</v>
      </c>
      <c r="J642" t="s">
        <v>1455</v>
      </c>
      <c r="K642" s="9">
        <v>2.6495</v>
      </c>
      <c r="L642" s="9">
        <v>0.4401</v>
      </c>
      <c r="M642" s="9">
        <v>0.3901</v>
      </c>
      <c r="N642" t="s">
        <v>14</v>
      </c>
      <c r="O642" s="9">
        <v>0.99</v>
      </c>
      <c r="T642" s="7">
        <v>16.61</v>
      </c>
      <c r="X642" s="10" t="s">
        <v>428</v>
      </c>
      <c r="Y642" s="11" t="s">
        <v>1492</v>
      </c>
      <c r="Z642" t="s">
        <v>522</v>
      </c>
    </row>
    <row r="643" spans="1:26">
      <c r="A643">
        <v>397</v>
      </c>
      <c r="B643" t="s">
        <v>1459</v>
      </c>
      <c r="C643" t="s">
        <v>1460</v>
      </c>
      <c r="D643" t="s">
        <v>1461</v>
      </c>
      <c r="E643" t="s">
        <v>1410</v>
      </c>
      <c r="F643" t="s">
        <v>1462</v>
      </c>
      <c r="G643" t="s">
        <v>155</v>
      </c>
      <c r="H643" t="s">
        <v>10</v>
      </c>
      <c r="I643">
        <v>0</v>
      </c>
      <c r="J643" t="s">
        <v>251</v>
      </c>
      <c r="K643" s="9">
        <v>3.2743</v>
      </c>
      <c r="L643" s="9">
        <v>0.6379</v>
      </c>
      <c r="M643" s="9">
        <v>0.4978</v>
      </c>
      <c r="N643" t="s">
        <v>14</v>
      </c>
      <c r="O643" s="9">
        <v>1.27</v>
      </c>
      <c r="T643" s="7">
        <v>19.48</v>
      </c>
      <c r="X643" s="10" t="s">
        <v>428</v>
      </c>
      <c r="Y643" s="11" t="s">
        <v>1493</v>
      </c>
      <c r="Z643" t="s">
        <v>522</v>
      </c>
    </row>
  </sheetData>
  <conditionalFormatting sqref="H2:H643">
    <cfRule type="containsText" dxfId="0" priority="1" operator="containsText" text="전망">
      <formula>NOT(ISERROR(SEARCH("전망",H2)))</formula>
    </cfRule>
    <cfRule type="containsText" dxfId="1" priority="2" operator="containsText" text="확정">
      <formula>NOT(ISERROR(SEARCH("확정",H2)))</formula>
    </cfRule>
  </conditionalFormatting>
  <hyperlinks>
    <hyperlink ref="Y106" r:id="rId1"/>
    <hyperlink ref="Y107" r:id="rId2"/>
    <hyperlink ref="Y108" r:id="rId3"/>
    <hyperlink ref="Y109" r:id="rId4"/>
    <hyperlink ref="Y110" r:id="rId5"/>
    <hyperlink ref="Y111" r:id="rId6"/>
    <hyperlink ref="Y112" r:id="rId7"/>
    <hyperlink ref="Y113" r:id="rId8"/>
    <hyperlink ref="Y114" r:id="rId9"/>
    <hyperlink ref="Y115" r:id="rId10"/>
    <hyperlink ref="Y116" r:id="rId11"/>
    <hyperlink ref="Y117" r:id="rId12"/>
    <hyperlink ref="Y118" r:id="rId13"/>
    <hyperlink ref="Y119" r:id="rId14"/>
    <hyperlink ref="Y120" r:id="rId15"/>
    <hyperlink ref="Y121" r:id="rId16"/>
    <hyperlink ref="Y122" r:id="rId17"/>
    <hyperlink ref="Y123" r:id="rId18"/>
    <hyperlink ref="Y124" r:id="rId19"/>
    <hyperlink ref="Y125" r:id="rId20"/>
    <hyperlink ref="Y126" r:id="rId21"/>
    <hyperlink ref="Y127" r:id="rId22"/>
    <hyperlink ref="Y128" r:id="rId23"/>
    <hyperlink ref="Y129" r:id="rId24"/>
    <hyperlink ref="Y130" r:id="rId25"/>
    <hyperlink ref="Y131" r:id="rId26"/>
    <hyperlink ref="Y132" r:id="rId27"/>
    <hyperlink ref="Y133" r:id="rId28"/>
    <hyperlink ref="Y134" r:id="rId29"/>
    <hyperlink ref="Y135" r:id="rId30"/>
    <hyperlink ref="Y136" r:id="rId31"/>
    <hyperlink ref="Y137" r:id="rId32"/>
    <hyperlink ref="Y138" r:id="rId33"/>
    <hyperlink ref="Y139" r:id="rId34"/>
    <hyperlink ref="Y140" r:id="rId35"/>
    <hyperlink ref="Y141" r:id="rId36"/>
    <hyperlink ref="Y142" r:id="rId37"/>
    <hyperlink ref="Y143" r:id="rId38"/>
    <hyperlink ref="Y144" r:id="rId39"/>
    <hyperlink ref="Y145" r:id="rId40"/>
    <hyperlink ref="Y146" r:id="rId41"/>
    <hyperlink ref="Y147" r:id="rId42"/>
    <hyperlink ref="Y148" r:id="rId43"/>
    <hyperlink ref="Y149" r:id="rId44"/>
    <hyperlink ref="Y150" r:id="rId45"/>
    <hyperlink ref="Y151" r:id="rId46"/>
    <hyperlink ref="Y152" r:id="rId47"/>
    <hyperlink ref="Y153" r:id="rId48"/>
    <hyperlink ref="Y154" r:id="rId49"/>
    <hyperlink ref="Y155" r:id="rId50"/>
    <hyperlink ref="Y156" r:id="rId51"/>
    <hyperlink ref="Y157" r:id="rId52"/>
    <hyperlink ref="Y158" r:id="rId53"/>
    <hyperlink ref="Y159" r:id="rId54"/>
    <hyperlink ref="Y160" r:id="rId55"/>
    <hyperlink ref="Y161" r:id="rId56"/>
    <hyperlink ref="Y162" r:id="rId57"/>
    <hyperlink ref="Y163" r:id="rId58"/>
    <hyperlink ref="Y164" r:id="rId59"/>
    <hyperlink ref="Y165" r:id="rId60"/>
    <hyperlink ref="Y166" r:id="rId61"/>
    <hyperlink ref="Y167" r:id="rId62"/>
    <hyperlink ref="Y168" r:id="rId63"/>
    <hyperlink ref="Y169" r:id="rId64"/>
    <hyperlink ref="Y170" r:id="rId65"/>
    <hyperlink ref="Y171" r:id="rId66"/>
    <hyperlink ref="Y172" r:id="rId67"/>
    <hyperlink ref="Y173" r:id="rId68"/>
    <hyperlink ref="Y174" r:id="rId69"/>
    <hyperlink ref="Y175" r:id="rId70"/>
    <hyperlink ref="Y176" r:id="rId71"/>
    <hyperlink ref="Y177" r:id="rId72"/>
    <hyperlink ref="Y178" r:id="rId73"/>
    <hyperlink ref="Y179" r:id="rId74"/>
    <hyperlink ref="Y180" r:id="rId75"/>
    <hyperlink ref="Y181" r:id="rId76"/>
    <hyperlink ref="Y182" r:id="rId77"/>
    <hyperlink ref="Y183" r:id="rId78"/>
    <hyperlink ref="Y184" r:id="rId79"/>
    <hyperlink ref="Y185" r:id="rId80"/>
    <hyperlink ref="Y186" r:id="rId81"/>
    <hyperlink ref="Y187" r:id="rId82"/>
    <hyperlink ref="Y188" r:id="rId83"/>
    <hyperlink ref="Y189" r:id="rId84"/>
    <hyperlink ref="Y190" r:id="rId85"/>
    <hyperlink ref="Y191" r:id="rId86"/>
    <hyperlink ref="Y192" r:id="rId87"/>
    <hyperlink ref="Y193" r:id="rId88"/>
    <hyperlink ref="Y194" r:id="rId89"/>
    <hyperlink ref="Y195" r:id="rId90"/>
    <hyperlink ref="Y196" r:id="rId91"/>
    <hyperlink ref="Y197" r:id="rId92"/>
    <hyperlink ref="Y198" r:id="rId93"/>
    <hyperlink ref="Y199" r:id="rId94"/>
    <hyperlink ref="Y200" r:id="rId95"/>
    <hyperlink ref="Y201" r:id="rId96"/>
    <hyperlink ref="Y202" r:id="rId97"/>
    <hyperlink ref="Y203" r:id="rId98"/>
    <hyperlink ref="Y204" r:id="rId99"/>
    <hyperlink ref="Y205" r:id="rId100"/>
    <hyperlink ref="Y206" r:id="rId101"/>
    <hyperlink ref="Y207" r:id="rId102"/>
    <hyperlink ref="Y208" r:id="rId103"/>
    <hyperlink ref="Y209" r:id="rId104"/>
    <hyperlink ref="Y210" r:id="rId105"/>
    <hyperlink ref="Y211" r:id="rId106"/>
    <hyperlink ref="Y212" r:id="rId107"/>
    <hyperlink ref="Y213" r:id="rId108"/>
    <hyperlink ref="Y214" r:id="rId109"/>
    <hyperlink ref="Y215" r:id="rId110"/>
    <hyperlink ref="Y216" r:id="rId111"/>
    <hyperlink ref="Y217" r:id="rId112"/>
    <hyperlink ref="Y218" r:id="rId113"/>
    <hyperlink ref="Y219" r:id="rId114"/>
    <hyperlink ref="Y220" r:id="rId115"/>
    <hyperlink ref="Y221" r:id="rId116"/>
    <hyperlink ref="Y222" r:id="rId117"/>
    <hyperlink ref="Y249" r:id="rId118"/>
    <hyperlink ref="Y250" r:id="rId119"/>
    <hyperlink ref="Y251" r:id="rId120"/>
    <hyperlink ref="Y252" r:id="rId121"/>
    <hyperlink ref="Y253" r:id="rId122"/>
    <hyperlink ref="Y254" r:id="rId123"/>
    <hyperlink ref="Y255" r:id="rId124"/>
    <hyperlink ref="Y256" r:id="rId125"/>
    <hyperlink ref="Y257" r:id="rId126"/>
    <hyperlink ref="Y258" r:id="rId127"/>
    <hyperlink ref="Y259" r:id="rId128"/>
    <hyperlink ref="Y260" r:id="rId129"/>
    <hyperlink ref="Y261" r:id="rId130"/>
    <hyperlink ref="Y262" r:id="rId131"/>
    <hyperlink ref="Y263" r:id="rId132"/>
    <hyperlink ref="Y264" r:id="rId133"/>
    <hyperlink ref="Y265" r:id="rId134"/>
    <hyperlink ref="Y266" r:id="rId135"/>
    <hyperlink ref="Y267" r:id="rId136"/>
    <hyperlink ref="Y268" r:id="rId137"/>
    <hyperlink ref="Y269" r:id="rId138"/>
    <hyperlink ref="Y270" r:id="rId139"/>
    <hyperlink ref="Y271" r:id="rId140"/>
    <hyperlink ref="Y272" r:id="rId141"/>
    <hyperlink ref="Y273" r:id="rId142"/>
    <hyperlink ref="Y274" r:id="rId143"/>
    <hyperlink ref="Y275" r:id="rId144"/>
    <hyperlink ref="Y276" r:id="rId145"/>
    <hyperlink ref="Y277" r:id="rId146"/>
    <hyperlink ref="Y278" r:id="rId147"/>
    <hyperlink ref="Y279" r:id="rId148"/>
    <hyperlink ref="Y280" r:id="rId149"/>
    <hyperlink ref="Y281" r:id="rId150"/>
    <hyperlink ref="Y282" r:id="rId151"/>
    <hyperlink ref="Y283" r:id="rId152"/>
    <hyperlink ref="Y284" r:id="rId153"/>
    <hyperlink ref="Y285" r:id="rId154"/>
    <hyperlink ref="Y286" r:id="rId155"/>
    <hyperlink ref="Y287" r:id="rId156"/>
    <hyperlink ref="Y288" r:id="rId157"/>
    <hyperlink ref="Y289" r:id="rId158"/>
    <hyperlink ref="Y290" r:id="rId159"/>
    <hyperlink ref="Y291" r:id="rId160"/>
    <hyperlink ref="Y292" r:id="rId161"/>
    <hyperlink ref="Y293" r:id="rId162"/>
    <hyperlink ref="Y294" r:id="rId163"/>
    <hyperlink ref="Y295" r:id="rId164"/>
    <hyperlink ref="Y296" r:id="rId165"/>
    <hyperlink ref="Y297" r:id="rId166"/>
    <hyperlink ref="Y298" r:id="rId167"/>
    <hyperlink ref="Y299" r:id="rId168"/>
    <hyperlink ref="Y300" r:id="rId169"/>
    <hyperlink ref="Y301" r:id="rId170"/>
    <hyperlink ref="Y302" r:id="rId171"/>
    <hyperlink ref="Y303" r:id="rId172"/>
    <hyperlink ref="Y304" r:id="rId173"/>
    <hyperlink ref="Y305" r:id="rId174"/>
    <hyperlink ref="Y306" r:id="rId175"/>
    <hyperlink ref="Y307" r:id="rId176"/>
    <hyperlink ref="Y308" r:id="rId177"/>
    <hyperlink ref="Y309" r:id="rId178"/>
    <hyperlink ref="Y310" r:id="rId179"/>
    <hyperlink ref="Y311" r:id="rId180"/>
    <hyperlink ref="Y312" r:id="rId181"/>
    <hyperlink ref="Y313" r:id="rId182"/>
    <hyperlink ref="Y314" r:id="rId183"/>
    <hyperlink ref="Y315" r:id="rId184"/>
    <hyperlink ref="Y316" r:id="rId185"/>
    <hyperlink ref="Y317" r:id="rId186"/>
    <hyperlink ref="Y318" r:id="rId187"/>
    <hyperlink ref="Y319" r:id="rId188"/>
    <hyperlink ref="Y320" r:id="rId189"/>
    <hyperlink ref="Y321" r:id="rId190"/>
    <hyperlink ref="Y322" r:id="rId191"/>
    <hyperlink ref="Y323" r:id="rId192"/>
    <hyperlink ref="Y324" r:id="rId193"/>
    <hyperlink ref="Y325" r:id="rId194"/>
    <hyperlink ref="Y326" r:id="rId195"/>
    <hyperlink ref="Y327" r:id="rId196"/>
    <hyperlink ref="Y328" r:id="rId197"/>
    <hyperlink ref="Y329" r:id="rId198"/>
    <hyperlink ref="Y330" r:id="rId199"/>
    <hyperlink ref="Y331" r:id="rId200"/>
    <hyperlink ref="Y332" r:id="rId201"/>
    <hyperlink ref="Y333" r:id="rId202"/>
    <hyperlink ref="Y334" r:id="rId203"/>
    <hyperlink ref="Y335" r:id="rId204"/>
    <hyperlink ref="Y336" r:id="rId205"/>
    <hyperlink ref="Y337" r:id="rId206"/>
    <hyperlink ref="Y338" r:id="rId207"/>
    <hyperlink ref="Y339" r:id="rId208"/>
    <hyperlink ref="Y340" r:id="rId209"/>
    <hyperlink ref="Y341" r:id="rId210"/>
    <hyperlink ref="Y342" r:id="rId211"/>
    <hyperlink ref="Y343" r:id="rId212"/>
    <hyperlink ref="Y344" r:id="rId213"/>
    <hyperlink ref="Y345" r:id="rId214"/>
    <hyperlink ref="Y346" r:id="rId215"/>
    <hyperlink ref="Y347" r:id="rId216"/>
    <hyperlink ref="Y348" r:id="rId217"/>
    <hyperlink ref="Y375" r:id="rId218"/>
    <hyperlink ref="Y376" r:id="rId219"/>
    <hyperlink ref="Y377" r:id="rId220"/>
    <hyperlink ref="Y378" r:id="rId221"/>
    <hyperlink ref="Y379" r:id="rId222"/>
    <hyperlink ref="Y380" r:id="rId223"/>
    <hyperlink ref="Y381" r:id="rId224"/>
    <hyperlink ref="Y382" r:id="rId225"/>
    <hyperlink ref="Y383" r:id="rId226"/>
    <hyperlink ref="Y384" r:id="rId227"/>
    <hyperlink ref="Y385" r:id="rId228"/>
    <hyperlink ref="Y386" r:id="rId229"/>
    <hyperlink ref="Y387" r:id="rId230"/>
    <hyperlink ref="Y388" r:id="rId231"/>
    <hyperlink ref="Y389" r:id="rId232"/>
    <hyperlink ref="Y390" r:id="rId233"/>
    <hyperlink ref="Y391" r:id="rId234"/>
    <hyperlink ref="Y392" r:id="rId235"/>
    <hyperlink ref="Y393" r:id="rId236"/>
    <hyperlink ref="Y394" r:id="rId237"/>
    <hyperlink ref="Y395" r:id="rId238"/>
    <hyperlink ref="Y396" r:id="rId239"/>
    <hyperlink ref="Y397" r:id="rId240"/>
    <hyperlink ref="Y398" r:id="rId241"/>
    <hyperlink ref="Y399" r:id="rId242"/>
    <hyperlink ref="Y400" r:id="rId243"/>
    <hyperlink ref="Y401" r:id="rId244"/>
    <hyperlink ref="Y402" r:id="rId245"/>
    <hyperlink ref="Y403" r:id="rId246"/>
    <hyperlink ref="Y456" r:id="rId247"/>
    <hyperlink ref="Y457" r:id="rId248"/>
    <hyperlink ref="Y458" r:id="rId249"/>
    <hyperlink ref="Y459" r:id="rId250"/>
    <hyperlink ref="Y460" r:id="rId251"/>
    <hyperlink ref="Y461" r:id="rId252"/>
    <hyperlink ref="Y462" r:id="rId253"/>
    <hyperlink ref="Y463" r:id="rId254"/>
    <hyperlink ref="Y464" r:id="rId255"/>
    <hyperlink ref="Y465" r:id="rId256"/>
    <hyperlink ref="Y466" r:id="rId257"/>
    <hyperlink ref="Y467" r:id="rId258"/>
    <hyperlink ref="Y468" r:id="rId259"/>
    <hyperlink ref="Y469" r:id="rId260"/>
    <hyperlink ref="Y470" r:id="rId261"/>
    <hyperlink ref="Y471" r:id="rId262"/>
    <hyperlink ref="Y472" r:id="rId263"/>
    <hyperlink ref="Y473" r:id="rId264"/>
    <hyperlink ref="Y474" r:id="rId265"/>
    <hyperlink ref="Y475" r:id="rId266"/>
    <hyperlink ref="Y476" r:id="rId267"/>
    <hyperlink ref="Y477" r:id="rId268"/>
    <hyperlink ref="Y478" r:id="rId269"/>
    <hyperlink ref="Y479" r:id="rId270"/>
    <hyperlink ref="Y480" r:id="rId271"/>
    <hyperlink ref="Y481" r:id="rId272"/>
    <hyperlink ref="Y482" r:id="rId273"/>
    <hyperlink ref="Y483" r:id="rId274"/>
    <hyperlink ref="Y484" r:id="rId275"/>
    <hyperlink ref="Y485" r:id="rId276"/>
    <hyperlink ref="Y486" r:id="rId277"/>
    <hyperlink ref="Y487" r:id="rId278"/>
    <hyperlink ref="Y488" r:id="rId279"/>
    <hyperlink ref="Y489" r:id="rId280"/>
    <hyperlink ref="Y490" r:id="rId281"/>
    <hyperlink ref="Y491" r:id="rId282"/>
    <hyperlink ref="Y492" r:id="rId283"/>
    <hyperlink ref="Y493" r:id="rId284"/>
    <hyperlink ref="Y494" r:id="rId285"/>
    <hyperlink ref="Y495" r:id="rId286"/>
    <hyperlink ref="Y496" r:id="rId287"/>
    <hyperlink ref="Y497" r:id="rId288"/>
    <hyperlink ref="Y498" r:id="rId289"/>
    <hyperlink ref="Y499" r:id="rId290"/>
    <hyperlink ref="Y500" r:id="rId291"/>
    <hyperlink ref="Y501" r:id="rId292"/>
    <hyperlink ref="Y502" r:id="rId293"/>
    <hyperlink ref="Y503" r:id="rId294"/>
    <hyperlink ref="Y504" r:id="rId295"/>
    <hyperlink ref="Y505" r:id="rId296"/>
    <hyperlink ref="Y506" r:id="rId297"/>
    <hyperlink ref="Y507" r:id="rId298"/>
    <hyperlink ref="Y508" r:id="rId299"/>
    <hyperlink ref="Y509" r:id="rId300"/>
    <hyperlink ref="Y510" r:id="rId301"/>
    <hyperlink ref="Y511" r:id="rId302"/>
    <hyperlink ref="Y512" r:id="rId303"/>
    <hyperlink ref="Y513" r:id="rId304"/>
    <hyperlink ref="Y514" r:id="rId305"/>
    <hyperlink ref="Y515" r:id="rId306"/>
    <hyperlink ref="Y516" r:id="rId307"/>
    <hyperlink ref="Y517" r:id="rId308"/>
    <hyperlink ref="Y518" r:id="rId309"/>
    <hyperlink ref="Y519" r:id="rId310"/>
    <hyperlink ref="Y520" r:id="rId311"/>
    <hyperlink ref="Y521" r:id="rId312"/>
    <hyperlink ref="Y522" r:id="rId313"/>
    <hyperlink ref="Y523" r:id="rId314"/>
    <hyperlink ref="Y524" r:id="rId315"/>
    <hyperlink ref="Y525" r:id="rId316"/>
    <hyperlink ref="Y526" r:id="rId317"/>
    <hyperlink ref="Y527" r:id="rId318"/>
    <hyperlink ref="Y528" r:id="rId319"/>
    <hyperlink ref="Y529" r:id="rId320"/>
    <hyperlink ref="Y530" r:id="rId321"/>
    <hyperlink ref="Y531" r:id="rId322"/>
    <hyperlink ref="Y532" r:id="rId323"/>
    <hyperlink ref="Y533" r:id="rId324"/>
    <hyperlink ref="Y534" r:id="rId325"/>
    <hyperlink ref="Y535" r:id="rId326"/>
    <hyperlink ref="Y536" r:id="rId327"/>
    <hyperlink ref="Y537" r:id="rId328"/>
    <hyperlink ref="Y538" r:id="rId329"/>
    <hyperlink ref="Y539" r:id="rId330"/>
    <hyperlink ref="Y540" r:id="rId331"/>
    <hyperlink ref="Y541" r:id="rId332"/>
    <hyperlink ref="Y542" r:id="rId333"/>
    <hyperlink ref="Y543" r:id="rId334"/>
    <hyperlink ref="Y544" r:id="rId335"/>
    <hyperlink ref="Y545" r:id="rId336"/>
    <hyperlink ref="Y546" r:id="rId337"/>
    <hyperlink ref="Y547" r:id="rId338"/>
    <hyperlink ref="Y548" r:id="rId339"/>
    <hyperlink ref="Y549" r:id="rId340"/>
    <hyperlink ref="Y550" r:id="rId341"/>
    <hyperlink ref="Y551" r:id="rId342"/>
    <hyperlink ref="Y552" r:id="rId343"/>
    <hyperlink ref="Y553" r:id="rId344"/>
    <hyperlink ref="Y554" r:id="rId345"/>
    <hyperlink ref="Y555" r:id="rId346"/>
    <hyperlink ref="Y556" r:id="rId347"/>
    <hyperlink ref="Y557" r:id="rId348"/>
    <hyperlink ref="Y558" r:id="rId349"/>
    <hyperlink ref="Y559" r:id="rId350"/>
    <hyperlink ref="Y560" r:id="rId351"/>
    <hyperlink ref="Y561" r:id="rId352"/>
    <hyperlink ref="Y562" r:id="rId353"/>
    <hyperlink ref="Y563" r:id="rId354"/>
    <hyperlink ref="Y564" r:id="rId355"/>
    <hyperlink ref="Y565" r:id="rId356"/>
    <hyperlink ref="Y566" r:id="rId357"/>
    <hyperlink ref="Y567" r:id="rId358"/>
    <hyperlink ref="Y568" r:id="rId359"/>
    <hyperlink ref="Y569" r:id="rId360"/>
    <hyperlink ref="Y570" r:id="rId361"/>
    <hyperlink ref="Y571" r:id="rId362"/>
    <hyperlink ref="Y572" r:id="rId363"/>
    <hyperlink ref="Y573" r:id="rId364"/>
    <hyperlink ref="Y574" r:id="rId365"/>
    <hyperlink ref="Y575" r:id="rId366"/>
    <hyperlink ref="Y576" r:id="rId367"/>
    <hyperlink ref="Y577" r:id="rId368"/>
    <hyperlink ref="Y578" r:id="rId369"/>
    <hyperlink ref="Y579" r:id="rId370"/>
    <hyperlink ref="Y580" r:id="rId371"/>
    <hyperlink ref="Y581" r:id="rId372"/>
    <hyperlink ref="Y582" r:id="rId373"/>
    <hyperlink ref="Y583" r:id="rId374"/>
    <hyperlink ref="Y584" r:id="rId375"/>
    <hyperlink ref="Y585" r:id="rId376"/>
    <hyperlink ref="Y586" r:id="rId377"/>
    <hyperlink ref="Y587" r:id="rId378"/>
    <hyperlink ref="Y588" r:id="rId379"/>
    <hyperlink ref="Y589" r:id="rId380"/>
    <hyperlink ref="Y590" r:id="rId381"/>
    <hyperlink ref="Y591" r:id="rId382"/>
    <hyperlink ref="Y592" r:id="rId383"/>
    <hyperlink ref="Y593" r:id="rId384"/>
    <hyperlink ref="Y594" r:id="rId385"/>
    <hyperlink ref="Y595" r:id="rId386"/>
    <hyperlink ref="Y596" r:id="rId387"/>
    <hyperlink ref="Y597" r:id="rId388"/>
    <hyperlink ref="Y598" r:id="rId389"/>
    <hyperlink ref="Y599" r:id="rId390"/>
    <hyperlink ref="Y600" r:id="rId391"/>
    <hyperlink ref="Y601" r:id="rId392"/>
    <hyperlink ref="Y602" r:id="rId393"/>
    <hyperlink ref="Y603" r:id="rId394"/>
    <hyperlink ref="Y604" r:id="rId395"/>
    <hyperlink ref="Y605" r:id="rId396"/>
    <hyperlink ref="Y606" r:id="rId397"/>
    <hyperlink ref="Y607" r:id="rId398"/>
    <hyperlink ref="Y608" r:id="rId399"/>
    <hyperlink ref="Y609" r:id="rId400"/>
    <hyperlink ref="Y610" r:id="rId401"/>
    <hyperlink ref="Y611" r:id="rId402"/>
    <hyperlink ref="Y612" r:id="rId403"/>
    <hyperlink ref="Y613" r:id="rId404"/>
    <hyperlink ref="Y614" r:id="rId405"/>
    <hyperlink ref="Y615" r:id="rId406"/>
    <hyperlink ref="Y616" r:id="rId407"/>
    <hyperlink ref="Y617" r:id="rId408"/>
    <hyperlink ref="Y618" r:id="rId409"/>
    <hyperlink ref="Y619" r:id="rId410"/>
    <hyperlink ref="Y620" r:id="rId411"/>
    <hyperlink ref="Y621" r:id="rId412"/>
    <hyperlink ref="Y622" r:id="rId413"/>
    <hyperlink ref="Y623" r:id="rId414"/>
    <hyperlink ref="Y624" r:id="rId415"/>
    <hyperlink ref="Y625" r:id="rId416"/>
    <hyperlink ref="Y626" r:id="rId417"/>
    <hyperlink ref="Y627" r:id="rId418"/>
    <hyperlink ref="Y628" r:id="rId419"/>
    <hyperlink ref="Y629" r:id="rId420"/>
    <hyperlink ref="Y630" r:id="rId421"/>
    <hyperlink ref="Y631" r:id="rId422"/>
    <hyperlink ref="Y632" r:id="rId423"/>
    <hyperlink ref="Y633" r:id="rId424"/>
    <hyperlink ref="Y634" r:id="rId425"/>
    <hyperlink ref="Y635" r:id="rId426"/>
    <hyperlink ref="Y636" r:id="rId427"/>
    <hyperlink ref="Y637" r:id="rId428"/>
    <hyperlink ref="Y638" r:id="rId429"/>
    <hyperlink ref="Y639" r:id="rId430"/>
    <hyperlink ref="Y640" r:id="rId431"/>
    <hyperlink ref="Y641" r:id="rId432"/>
    <hyperlink ref="Y642" r:id="rId433"/>
    <hyperlink ref="Y643" r:id="rId434"/>
  </hyperlinks>
  <pageMargins left="0.7" right="0.7" top="0.75" bottom="0.75" header="0.3" footer="0.3"/>
  <tableParts count="1">
    <tablePart r:id="rId435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0AD47"/>
  </sheetPr>
  <dimension ref="A1:Z626"/>
  <sheetViews>
    <sheetView showGridLines="0"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/>
  <cols>
    <col min="1" max="1" width="8.7109375" customWidth="1"/>
    <col min="2" max="2" width="17.7109375" customWidth="1"/>
    <col min="3" max="3" width="16.7109375" customWidth="1"/>
    <col min="4" max="4" width="19.7109375" customWidth="1"/>
    <col min="5" max="5" width="18.7109375" customWidth="1"/>
    <col min="6" max="6" width="12.7109375" customWidth="1"/>
    <col min="7" max="7" width="11.7109375" customWidth="1"/>
    <col min="8" max="8" width="8.7109375" customWidth="1"/>
    <col min="9" max="9" width="11.7109375" customWidth="1"/>
    <col min="10" max="10" width="12.7109375" customWidth="1"/>
    <col min="11" max="13" width="14.7109375" style="9" customWidth="1"/>
    <col min="14" max="14" width="10.7109375" customWidth="1"/>
    <col min="15" max="15" width="12.7109375" style="9" customWidth="1"/>
    <col min="16" max="16" width="14.7109375" style="9" customWidth="1"/>
    <col min="17" max="17" width="16.7109375" style="9" customWidth="1"/>
    <col min="18" max="18" width="14.7109375" customWidth="1"/>
    <col min="19" max="20" width="16.7109375" style="7" customWidth="1"/>
    <col min="21" max="21" width="14.7109375" style="9" customWidth="1"/>
    <col min="22" max="25" width="9.140625" style="10"/>
    <col min="26" max="26" width="20.7109375" customWidth="1"/>
  </cols>
  <sheetData>
    <row r="1" spans="1:26" ht="32" customHeight="1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7</v>
      </c>
      <c r="I1" s="6" t="s">
        <v>28</v>
      </c>
      <c r="J1" s="6" t="s">
        <v>29</v>
      </c>
      <c r="K1" s="6" t="s">
        <v>30</v>
      </c>
      <c r="L1" s="6" t="s">
        <v>31</v>
      </c>
      <c r="M1" s="6" t="s">
        <v>32</v>
      </c>
      <c r="N1" s="6" t="s">
        <v>13</v>
      </c>
      <c r="O1" s="6" t="s">
        <v>33</v>
      </c>
      <c r="P1" s="6" t="s">
        <v>34</v>
      </c>
      <c r="Q1" s="6" t="s">
        <v>35</v>
      </c>
      <c r="R1" s="6" t="s">
        <v>36</v>
      </c>
      <c r="S1" s="6" t="s">
        <v>37</v>
      </c>
      <c r="T1" s="6" t="s">
        <v>38</v>
      </c>
      <c r="U1" s="6" t="s">
        <v>39</v>
      </c>
      <c r="V1" s="6" t="s">
        <v>40</v>
      </c>
      <c r="W1" s="6" t="s">
        <v>41</v>
      </c>
      <c r="X1" s="6" t="s">
        <v>42</v>
      </c>
      <c r="Y1" s="6" t="s">
        <v>43</v>
      </c>
      <c r="Z1" s="6" t="s">
        <v>44</v>
      </c>
    </row>
    <row r="2" spans="1:26">
      <c r="A2">
        <v>183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10</v>
      </c>
      <c r="I2">
        <v>0</v>
      </c>
      <c r="J2" t="s">
        <v>51</v>
      </c>
      <c r="K2" s="9">
        <v>75.45</v>
      </c>
      <c r="L2" s="9">
        <v>3.99</v>
      </c>
      <c r="M2" s="9">
        <v>2.54</v>
      </c>
      <c r="N2" t="s">
        <v>14</v>
      </c>
      <c r="O2" s="9">
        <v>5.01</v>
      </c>
      <c r="P2" s="9">
        <v>6.25</v>
      </c>
      <c r="Q2" s="9">
        <v>73.5</v>
      </c>
      <c r="R2" t="s">
        <v>52</v>
      </c>
      <c r="S2" s="7">
        <v>41.9</v>
      </c>
      <c r="V2" s="10" t="s">
        <v>53</v>
      </c>
      <c r="X2" s="10" t="s">
        <v>54</v>
      </c>
      <c r="Y2" s="10" t="s">
        <v>55</v>
      </c>
      <c r="Z2" t="s">
        <v>56</v>
      </c>
    </row>
    <row r="3" spans="1:26">
      <c r="A3">
        <v>184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57</v>
      </c>
      <c r="H3" t="s">
        <v>10</v>
      </c>
      <c r="I3">
        <v>0</v>
      </c>
      <c r="J3" t="s">
        <v>58</v>
      </c>
      <c r="K3" s="9">
        <v>88.91</v>
      </c>
      <c r="L3" s="9">
        <v>5.84</v>
      </c>
      <c r="M3" s="9">
        <v>5.24</v>
      </c>
      <c r="N3" t="s">
        <v>14</v>
      </c>
      <c r="O3" s="9">
        <v>10.3</v>
      </c>
      <c r="P3" s="9">
        <v>1.46</v>
      </c>
      <c r="Q3" s="9">
        <v>81.5</v>
      </c>
      <c r="R3" t="s">
        <v>59</v>
      </c>
      <c r="S3" s="7">
        <v>41</v>
      </c>
      <c r="V3" s="10" t="s">
        <v>53</v>
      </c>
      <c r="X3" s="10" t="s">
        <v>60</v>
      </c>
      <c r="Y3" s="10" t="s">
        <v>61</v>
      </c>
      <c r="Z3" t="s">
        <v>56</v>
      </c>
    </row>
    <row r="4" spans="1:26">
      <c r="A4">
        <v>185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62</v>
      </c>
      <c r="H4" t="s">
        <v>10</v>
      </c>
      <c r="I4">
        <v>0</v>
      </c>
      <c r="J4" t="s">
        <v>63</v>
      </c>
      <c r="K4" s="9">
        <v>96.15000000000001</v>
      </c>
      <c r="L4" s="9">
        <v>6.19</v>
      </c>
      <c r="M4" s="9">
        <v>6.33</v>
      </c>
      <c r="N4" t="s">
        <v>14</v>
      </c>
      <c r="O4" s="9">
        <v>12.37</v>
      </c>
      <c r="P4" s="9">
        <v>7.41</v>
      </c>
      <c r="Q4" s="9">
        <v>92.5</v>
      </c>
      <c r="R4" t="s">
        <v>59</v>
      </c>
      <c r="S4" s="7">
        <v>40.6</v>
      </c>
      <c r="V4" s="10" t="s">
        <v>53</v>
      </c>
      <c r="X4" s="10" t="s">
        <v>64</v>
      </c>
      <c r="Y4" s="10" t="s">
        <v>65</v>
      </c>
      <c r="Z4" t="s">
        <v>56</v>
      </c>
    </row>
    <row r="5" spans="1:26">
      <c r="A5">
        <v>186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66</v>
      </c>
      <c r="H5" t="s">
        <v>10</v>
      </c>
      <c r="I5">
        <v>0</v>
      </c>
      <c r="J5" t="s">
        <v>67</v>
      </c>
      <c r="K5" s="9">
        <v>125.56</v>
      </c>
      <c r="L5" s="9">
        <v>6.87</v>
      </c>
      <c r="M5" s="9">
        <v>7.22</v>
      </c>
      <c r="N5" t="s">
        <v>14</v>
      </c>
      <c r="O5" s="9">
        <v>14.09</v>
      </c>
      <c r="P5" s="9">
        <v>7.34</v>
      </c>
      <c r="Q5" s="9">
        <v>119.7</v>
      </c>
      <c r="R5" t="s">
        <v>59</v>
      </c>
      <c r="S5" s="7">
        <v>37.7</v>
      </c>
      <c r="V5" s="10" t="s">
        <v>68</v>
      </c>
      <c r="X5" s="10" t="s">
        <v>69</v>
      </c>
      <c r="Y5" s="10" t="s">
        <v>70</v>
      </c>
      <c r="Z5" t="s">
        <v>56</v>
      </c>
    </row>
    <row r="6" spans="1:26">
      <c r="A6">
        <v>187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71</v>
      </c>
      <c r="H6" t="s">
        <v>10</v>
      </c>
      <c r="I6">
        <v>0</v>
      </c>
      <c r="J6" t="s">
        <v>72</v>
      </c>
      <c r="K6" s="9">
        <v>108.52</v>
      </c>
      <c r="L6" s="9">
        <v>8.869999999999999</v>
      </c>
      <c r="M6" s="9">
        <v>8.109999999999999</v>
      </c>
      <c r="N6" t="s">
        <v>14</v>
      </c>
      <c r="O6" s="9">
        <v>15.79</v>
      </c>
      <c r="P6" s="9">
        <v>9.539999999999999</v>
      </c>
      <c r="Q6" s="9">
        <v>104.5</v>
      </c>
      <c r="R6" t="s">
        <v>59</v>
      </c>
      <c r="S6" s="7">
        <v>42.5</v>
      </c>
      <c r="V6" s="10" t="s">
        <v>53</v>
      </c>
      <c r="X6" s="10" t="s">
        <v>73</v>
      </c>
      <c r="Y6" s="10" t="s">
        <v>74</v>
      </c>
      <c r="Z6" t="s">
        <v>56</v>
      </c>
    </row>
    <row r="7" spans="1:26">
      <c r="A7">
        <v>188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75</v>
      </c>
      <c r="H7" t="s">
        <v>10</v>
      </c>
      <c r="I7">
        <v>0</v>
      </c>
      <c r="J7" t="s">
        <v>76</v>
      </c>
      <c r="K7" s="9">
        <v>113.08</v>
      </c>
      <c r="L7" s="9">
        <v>7.68</v>
      </c>
      <c r="M7" s="9">
        <v>7.78</v>
      </c>
      <c r="N7" t="s">
        <v>14</v>
      </c>
      <c r="O7" s="9">
        <v>15.12</v>
      </c>
      <c r="P7" s="9">
        <v>12.3</v>
      </c>
      <c r="Q7" s="9">
        <v>115</v>
      </c>
      <c r="R7" t="s">
        <v>52</v>
      </c>
      <c r="S7" s="7">
        <v>43.3</v>
      </c>
      <c r="V7" s="10" t="s">
        <v>77</v>
      </c>
      <c r="X7" s="10" t="s">
        <v>78</v>
      </c>
      <c r="Y7" s="10" t="s">
        <v>79</v>
      </c>
      <c r="Z7" t="s">
        <v>56</v>
      </c>
    </row>
    <row r="8" spans="1:26">
      <c r="A8">
        <v>189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80</v>
      </c>
      <c r="H8" t="s">
        <v>10</v>
      </c>
      <c r="I8">
        <v>0</v>
      </c>
      <c r="J8" t="s">
        <v>81</v>
      </c>
      <c r="K8" s="9">
        <v>110.81</v>
      </c>
      <c r="L8" s="9">
        <v>4.85</v>
      </c>
      <c r="M8" s="9">
        <v>3.16</v>
      </c>
      <c r="N8" t="s">
        <v>14</v>
      </c>
      <c r="O8" s="9">
        <v>6.12</v>
      </c>
      <c r="P8" s="9">
        <v>8.92</v>
      </c>
      <c r="Q8" s="9">
        <v>111.5</v>
      </c>
      <c r="R8" t="s">
        <v>52</v>
      </c>
      <c r="S8" s="7">
        <v>43.3</v>
      </c>
      <c r="V8" s="10" t="s">
        <v>82</v>
      </c>
      <c r="X8" s="10" t="s">
        <v>83</v>
      </c>
      <c r="Y8" s="10" t="s">
        <v>84</v>
      </c>
      <c r="Z8" t="s">
        <v>56</v>
      </c>
    </row>
    <row r="9" spans="1:26">
      <c r="A9">
        <v>190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85</v>
      </c>
      <c r="H9" t="s">
        <v>10</v>
      </c>
      <c r="I9">
        <v>0</v>
      </c>
      <c r="J9" t="s">
        <v>86</v>
      </c>
      <c r="K9" s="9">
        <v>137.41</v>
      </c>
      <c r="L9" s="9">
        <v>3.46</v>
      </c>
      <c r="M9" s="9">
        <v>14.32</v>
      </c>
      <c r="N9" t="s">
        <v>14</v>
      </c>
      <c r="O9" s="9">
        <v>27.75</v>
      </c>
      <c r="P9" s="9">
        <v>3.77</v>
      </c>
      <c r="Q9" s="9">
        <v>137.5</v>
      </c>
      <c r="R9" t="s">
        <v>59</v>
      </c>
      <c r="S9" s="7">
        <v>39.5</v>
      </c>
      <c r="V9" s="10" t="s">
        <v>77</v>
      </c>
      <c r="X9" s="10" t="s">
        <v>87</v>
      </c>
      <c r="Y9" s="10" t="s">
        <v>88</v>
      </c>
      <c r="Z9" t="s">
        <v>56</v>
      </c>
    </row>
    <row r="10" spans="1:26">
      <c r="A10">
        <v>191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89</v>
      </c>
      <c r="H10" t="s">
        <v>10</v>
      </c>
      <c r="I10">
        <v>0</v>
      </c>
      <c r="J10" t="s">
        <v>90</v>
      </c>
      <c r="K10" s="9">
        <v>116.44</v>
      </c>
      <c r="L10" s="9">
        <v>3.67</v>
      </c>
      <c r="M10" s="9">
        <v>-3.84</v>
      </c>
      <c r="N10" t="s">
        <v>14</v>
      </c>
      <c r="O10" s="9">
        <v>-0.38</v>
      </c>
      <c r="P10" s="9">
        <v>0.42</v>
      </c>
      <c r="Q10" s="9">
        <v>116</v>
      </c>
      <c r="R10" t="s">
        <v>52</v>
      </c>
      <c r="S10" s="7">
        <v>42.9</v>
      </c>
      <c r="V10" s="10" t="s">
        <v>82</v>
      </c>
      <c r="X10" s="10" t="s">
        <v>91</v>
      </c>
      <c r="Y10" s="10" t="s">
        <v>92</v>
      </c>
      <c r="Z10" t="s">
        <v>56</v>
      </c>
    </row>
    <row r="11" spans="1:26">
      <c r="A11">
        <v>192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93</v>
      </c>
      <c r="H11" t="s">
        <v>10</v>
      </c>
      <c r="I11">
        <v>0</v>
      </c>
      <c r="J11" t="s">
        <v>94</v>
      </c>
      <c r="K11" s="9">
        <v>121.23</v>
      </c>
      <c r="L11" s="9">
        <v>3.32</v>
      </c>
      <c r="M11" s="9">
        <v>-2.03</v>
      </c>
      <c r="N11" t="s">
        <v>14</v>
      </c>
      <c r="O11" s="9">
        <v>-0.2</v>
      </c>
      <c r="P11" s="9">
        <v>0.12</v>
      </c>
      <c r="Q11" s="9">
        <v>119.5</v>
      </c>
      <c r="R11" t="s">
        <v>52</v>
      </c>
      <c r="S11" s="7">
        <v>45.2</v>
      </c>
      <c r="V11" s="10" t="s">
        <v>95</v>
      </c>
      <c r="X11" s="10" t="s">
        <v>96</v>
      </c>
      <c r="Y11" s="10" t="s">
        <v>97</v>
      </c>
      <c r="Z11" t="s">
        <v>56</v>
      </c>
    </row>
    <row r="12" spans="1:26">
      <c r="A12">
        <v>193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98</v>
      </c>
      <c r="H12" t="s">
        <v>10</v>
      </c>
      <c r="I12">
        <v>0</v>
      </c>
      <c r="J12" t="s">
        <v>99</v>
      </c>
      <c r="K12" s="9">
        <v>127.1</v>
      </c>
      <c r="L12" s="9">
        <v>2.53</v>
      </c>
      <c r="M12" s="9">
        <v>2.87</v>
      </c>
      <c r="N12" t="s">
        <v>14</v>
      </c>
      <c r="O12" s="9">
        <v>0.28</v>
      </c>
      <c r="P12" s="9">
        <v>0.21</v>
      </c>
      <c r="Q12" s="9">
        <v>127.5</v>
      </c>
      <c r="R12" t="s">
        <v>100</v>
      </c>
      <c r="S12" s="7">
        <v>44.7</v>
      </c>
      <c r="V12" s="10" t="s">
        <v>95</v>
      </c>
      <c r="X12" s="10" t="s">
        <v>101</v>
      </c>
      <c r="Y12" s="10" t="s">
        <v>102</v>
      </c>
      <c r="Z12" t="s">
        <v>56</v>
      </c>
    </row>
    <row r="13" spans="1:26">
      <c r="A13">
        <v>194</v>
      </c>
      <c r="B13" t="s">
        <v>45</v>
      </c>
      <c r="C13" t="s">
        <v>46</v>
      </c>
      <c r="D13" t="s">
        <v>47</v>
      </c>
      <c r="E13" t="s">
        <v>48</v>
      </c>
      <c r="F13" t="s">
        <v>49</v>
      </c>
      <c r="G13" t="s">
        <v>103</v>
      </c>
      <c r="H13" t="s">
        <v>10</v>
      </c>
      <c r="I13">
        <v>0</v>
      </c>
      <c r="J13" t="s">
        <v>104</v>
      </c>
      <c r="K13" s="9">
        <v>149.2</v>
      </c>
      <c r="L13" s="9">
        <v>2.74</v>
      </c>
      <c r="M13" s="9">
        <v>0.28</v>
      </c>
      <c r="N13" t="s">
        <v>14</v>
      </c>
      <c r="O13" s="9">
        <v>0.03</v>
      </c>
      <c r="P13" s="9">
        <v>0.18</v>
      </c>
      <c r="Q13" s="9">
        <v>145.8</v>
      </c>
      <c r="R13" t="s">
        <v>52</v>
      </c>
      <c r="S13" s="7">
        <v>39.3</v>
      </c>
      <c r="V13" s="10" t="s">
        <v>82</v>
      </c>
      <c r="X13" s="10" t="s">
        <v>105</v>
      </c>
      <c r="Y13" s="10" t="s">
        <v>106</v>
      </c>
      <c r="Z13" t="s">
        <v>56</v>
      </c>
    </row>
    <row r="14" spans="1:26">
      <c r="A14">
        <v>195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107</v>
      </c>
      <c r="H14" t="s">
        <v>10</v>
      </c>
      <c r="I14">
        <v>0</v>
      </c>
      <c r="J14" t="s">
        <v>108</v>
      </c>
      <c r="K14" s="9">
        <v>127.36</v>
      </c>
      <c r="L14" s="9">
        <v>4.77</v>
      </c>
      <c r="M14" s="9">
        <v>3.17</v>
      </c>
      <c r="N14" t="s">
        <v>14</v>
      </c>
      <c r="O14" s="9">
        <v>0.31</v>
      </c>
      <c r="P14" s="9">
        <v>0.21</v>
      </c>
      <c r="Q14" s="9">
        <v>124.5</v>
      </c>
      <c r="R14" t="s">
        <v>59</v>
      </c>
      <c r="S14" s="7">
        <v>46.8</v>
      </c>
      <c r="V14" s="10" t="s">
        <v>109</v>
      </c>
      <c r="X14" s="10" t="s">
        <v>110</v>
      </c>
      <c r="Y14" s="10" t="s">
        <v>111</v>
      </c>
      <c r="Z14" t="s">
        <v>56</v>
      </c>
    </row>
    <row r="15" spans="1:26">
      <c r="A15">
        <v>196</v>
      </c>
      <c r="B15" t="s">
        <v>45</v>
      </c>
      <c r="C15" t="s">
        <v>46</v>
      </c>
      <c r="D15" t="s">
        <v>47</v>
      </c>
      <c r="E15" t="s">
        <v>48</v>
      </c>
      <c r="F15" t="s">
        <v>49</v>
      </c>
      <c r="G15" t="s">
        <v>112</v>
      </c>
      <c r="H15" t="s">
        <v>10</v>
      </c>
      <c r="I15">
        <v>0</v>
      </c>
      <c r="J15" t="s">
        <v>113</v>
      </c>
      <c r="K15" s="9">
        <v>134.38</v>
      </c>
      <c r="L15" s="9">
        <v>7.68</v>
      </c>
      <c r="M15" s="9">
        <v>6.75</v>
      </c>
      <c r="N15" t="s">
        <v>14</v>
      </c>
      <c r="O15" s="9">
        <v>0.65</v>
      </c>
      <c r="P15" s="9">
        <v>0.35</v>
      </c>
      <c r="Q15" s="9">
        <v>131.5</v>
      </c>
      <c r="R15" t="s">
        <v>59</v>
      </c>
      <c r="S15" s="7">
        <v>48.4</v>
      </c>
      <c r="V15" s="10" t="s">
        <v>95</v>
      </c>
      <c r="X15" s="10" t="s">
        <v>114</v>
      </c>
      <c r="Y15" s="10" t="s">
        <v>115</v>
      </c>
      <c r="Z15" t="s">
        <v>56</v>
      </c>
    </row>
    <row r="16" spans="1:26">
      <c r="A16">
        <v>197</v>
      </c>
      <c r="B16" t="s">
        <v>45</v>
      </c>
      <c r="C16" t="s">
        <v>46</v>
      </c>
      <c r="D16" t="s">
        <v>47</v>
      </c>
      <c r="E16" t="s">
        <v>48</v>
      </c>
      <c r="F16" t="s">
        <v>49</v>
      </c>
      <c r="G16" t="s">
        <v>116</v>
      </c>
      <c r="H16" t="s">
        <v>10</v>
      </c>
      <c r="I16">
        <v>0</v>
      </c>
      <c r="J16" t="s">
        <v>117</v>
      </c>
      <c r="K16" s="9">
        <v>143.08</v>
      </c>
      <c r="L16" s="9">
        <v>11.19</v>
      </c>
      <c r="M16" s="9">
        <v>9.880000000000001</v>
      </c>
      <c r="N16" t="s">
        <v>14</v>
      </c>
      <c r="O16" s="9">
        <v>0.9399999999999999</v>
      </c>
      <c r="P16" s="9">
        <v>0.58</v>
      </c>
      <c r="Q16" s="9">
        <v>141.5</v>
      </c>
      <c r="R16" t="s">
        <v>59</v>
      </c>
      <c r="S16" s="7">
        <v>48.9</v>
      </c>
      <c r="V16" s="10" t="s">
        <v>95</v>
      </c>
      <c r="X16" s="10" t="s">
        <v>118</v>
      </c>
      <c r="Y16" s="10" t="s">
        <v>119</v>
      </c>
      <c r="Z16" t="s">
        <v>56</v>
      </c>
    </row>
    <row r="17" spans="1:26">
      <c r="A17">
        <v>198</v>
      </c>
      <c r="B17" t="s">
        <v>45</v>
      </c>
      <c r="C17" t="s">
        <v>46</v>
      </c>
      <c r="D17" t="s">
        <v>47</v>
      </c>
      <c r="E17" t="s">
        <v>48</v>
      </c>
      <c r="F17" t="s">
        <v>49</v>
      </c>
      <c r="G17" t="s">
        <v>120</v>
      </c>
      <c r="H17" t="s">
        <v>10</v>
      </c>
      <c r="I17">
        <v>0</v>
      </c>
      <c r="J17" t="s">
        <v>121</v>
      </c>
      <c r="K17" s="9">
        <v>169.96</v>
      </c>
      <c r="L17" s="9">
        <v>13.21</v>
      </c>
      <c r="M17" s="9">
        <v>10.62</v>
      </c>
      <c r="N17" t="s">
        <v>14</v>
      </c>
      <c r="O17" s="9">
        <v>1</v>
      </c>
      <c r="P17" s="9">
        <v>0.8</v>
      </c>
      <c r="Q17" s="9">
        <v>166</v>
      </c>
      <c r="R17" t="s">
        <v>59</v>
      </c>
      <c r="S17" s="7">
        <v>45.5</v>
      </c>
      <c r="V17" s="10" t="s">
        <v>82</v>
      </c>
      <c r="X17" s="10" t="s">
        <v>122</v>
      </c>
      <c r="Y17" s="10" t="s">
        <v>123</v>
      </c>
      <c r="Z17" t="s">
        <v>56</v>
      </c>
    </row>
    <row r="18" spans="1:26">
      <c r="A18">
        <v>199</v>
      </c>
      <c r="B18" t="s">
        <v>45</v>
      </c>
      <c r="C18" t="s">
        <v>46</v>
      </c>
      <c r="D18" t="s">
        <v>47</v>
      </c>
      <c r="E18" t="s">
        <v>48</v>
      </c>
      <c r="F18" t="s">
        <v>49</v>
      </c>
      <c r="G18" t="s">
        <v>124</v>
      </c>
      <c r="H18" t="s">
        <v>10</v>
      </c>
      <c r="I18">
        <v>0</v>
      </c>
      <c r="J18" t="s">
        <v>125</v>
      </c>
      <c r="K18" s="9">
        <v>143.31</v>
      </c>
      <c r="L18" s="9">
        <v>15.31</v>
      </c>
      <c r="M18" s="9">
        <v>10.43</v>
      </c>
      <c r="N18" t="s">
        <v>14</v>
      </c>
      <c r="O18" s="9">
        <v>0.98</v>
      </c>
      <c r="P18" s="9">
        <v>0.83</v>
      </c>
      <c r="Q18" s="9">
        <v>142.1</v>
      </c>
      <c r="R18" t="s">
        <v>59</v>
      </c>
      <c r="S18" s="7">
        <v>49.3</v>
      </c>
      <c r="V18" s="10" t="s">
        <v>109</v>
      </c>
      <c r="X18" s="10" t="s">
        <v>126</v>
      </c>
      <c r="Y18" s="10" t="s">
        <v>127</v>
      </c>
      <c r="Z18" t="s">
        <v>56</v>
      </c>
    </row>
    <row r="19" spans="1:26">
      <c r="A19">
        <v>200</v>
      </c>
      <c r="B19" t="s">
        <v>45</v>
      </c>
      <c r="C19" t="s">
        <v>46</v>
      </c>
      <c r="D19" t="s">
        <v>47</v>
      </c>
      <c r="E19" t="s">
        <v>48</v>
      </c>
      <c r="F19" t="s">
        <v>49</v>
      </c>
      <c r="G19" t="s">
        <v>128</v>
      </c>
      <c r="H19" t="s">
        <v>10</v>
      </c>
      <c r="I19">
        <v>0</v>
      </c>
      <c r="J19" t="s">
        <v>129</v>
      </c>
      <c r="K19" s="9">
        <v>147.98</v>
      </c>
      <c r="L19" s="9">
        <v>14.67</v>
      </c>
      <c r="M19" s="9">
        <v>13.49</v>
      </c>
      <c r="N19" t="s">
        <v>14</v>
      </c>
      <c r="O19" s="9">
        <v>1.26</v>
      </c>
      <c r="P19" s="9">
        <v>1.03</v>
      </c>
      <c r="Q19" s="9">
        <v>148.5</v>
      </c>
      <c r="R19" t="s">
        <v>59</v>
      </c>
      <c r="S19" s="7">
        <v>49.9</v>
      </c>
      <c r="V19" s="10" t="s">
        <v>130</v>
      </c>
      <c r="X19" s="10" t="s">
        <v>131</v>
      </c>
      <c r="Y19" s="10" t="s">
        <v>132</v>
      </c>
      <c r="Z19" t="s">
        <v>56</v>
      </c>
    </row>
    <row r="20" spans="1:26">
      <c r="A20">
        <v>201</v>
      </c>
      <c r="B20" t="s">
        <v>45</v>
      </c>
      <c r="C20" t="s">
        <v>46</v>
      </c>
      <c r="D20" t="s">
        <v>47</v>
      </c>
      <c r="E20" t="s">
        <v>48</v>
      </c>
      <c r="F20" t="s">
        <v>49</v>
      </c>
      <c r="G20" t="s">
        <v>133</v>
      </c>
      <c r="H20" t="s">
        <v>10</v>
      </c>
      <c r="I20">
        <v>0</v>
      </c>
      <c r="J20" t="s">
        <v>134</v>
      </c>
      <c r="K20" s="9">
        <v>158.88</v>
      </c>
      <c r="L20" s="9">
        <v>17.41</v>
      </c>
      <c r="M20" s="9">
        <v>15.33</v>
      </c>
      <c r="N20" t="s">
        <v>14</v>
      </c>
      <c r="O20" s="9">
        <v>1.43</v>
      </c>
      <c r="P20" s="9">
        <v>1.14</v>
      </c>
      <c r="Q20" s="9">
        <v>157</v>
      </c>
      <c r="R20" t="s">
        <v>59</v>
      </c>
      <c r="S20" s="7">
        <v>50.2</v>
      </c>
      <c r="V20" s="10" t="s">
        <v>130</v>
      </c>
      <c r="X20" s="10" t="s">
        <v>135</v>
      </c>
      <c r="Y20" s="10" t="s">
        <v>136</v>
      </c>
      <c r="Z20" t="s">
        <v>56</v>
      </c>
    </row>
    <row r="21" spans="1:26">
      <c r="A21">
        <v>202</v>
      </c>
      <c r="B21" t="s">
        <v>45</v>
      </c>
      <c r="C21" t="s">
        <v>46</v>
      </c>
      <c r="D21" t="s">
        <v>47</v>
      </c>
      <c r="E21" t="s">
        <v>48</v>
      </c>
      <c r="F21" t="s">
        <v>49</v>
      </c>
      <c r="G21" t="s">
        <v>137</v>
      </c>
      <c r="H21" t="s">
        <v>10</v>
      </c>
      <c r="I21">
        <v>0</v>
      </c>
      <c r="J21" t="s">
        <v>138</v>
      </c>
      <c r="K21" s="9">
        <v>187.79</v>
      </c>
      <c r="L21" s="9">
        <v>21.16</v>
      </c>
      <c r="M21" s="9">
        <v>20</v>
      </c>
      <c r="N21" t="s">
        <v>14</v>
      </c>
      <c r="O21" s="9">
        <v>1.86</v>
      </c>
      <c r="P21" s="9">
        <v>1.49</v>
      </c>
      <c r="Q21" s="9">
        <v>184.5</v>
      </c>
      <c r="R21" t="s">
        <v>59</v>
      </c>
      <c r="S21" s="7">
        <v>48.5</v>
      </c>
      <c r="V21" s="10" t="s">
        <v>109</v>
      </c>
      <c r="X21" s="10" t="s">
        <v>139</v>
      </c>
      <c r="Y21" s="10" t="s">
        <v>140</v>
      </c>
      <c r="Z21" t="s">
        <v>56</v>
      </c>
    </row>
    <row r="22" spans="1:26">
      <c r="A22">
        <v>203</v>
      </c>
      <c r="B22" t="s">
        <v>45</v>
      </c>
      <c r="C22" t="s">
        <v>46</v>
      </c>
      <c r="D22" t="s">
        <v>47</v>
      </c>
      <c r="E22" t="s">
        <v>48</v>
      </c>
      <c r="F22" t="s">
        <v>49</v>
      </c>
      <c r="G22" t="s">
        <v>141</v>
      </c>
      <c r="H22" t="s">
        <v>10</v>
      </c>
      <c r="I22">
        <v>0</v>
      </c>
      <c r="J22" t="s">
        <v>142</v>
      </c>
      <c r="K22" s="9">
        <v>155.67</v>
      </c>
      <c r="L22" s="9">
        <v>18.41</v>
      </c>
      <c r="M22" s="9">
        <v>17.13</v>
      </c>
      <c r="N22" t="s">
        <v>14</v>
      </c>
      <c r="O22" s="9">
        <v>1.59</v>
      </c>
      <c r="P22" s="9">
        <v>1.36</v>
      </c>
      <c r="Q22" s="9">
        <v>155</v>
      </c>
      <c r="R22" t="s">
        <v>59</v>
      </c>
      <c r="S22" s="7">
        <v>50.5</v>
      </c>
      <c r="V22" s="10" t="s">
        <v>143</v>
      </c>
      <c r="X22" s="10" t="s">
        <v>144</v>
      </c>
      <c r="Y22" s="10" t="s">
        <v>145</v>
      </c>
      <c r="Z22" t="s">
        <v>56</v>
      </c>
    </row>
    <row r="23" spans="1:26">
      <c r="A23">
        <v>204</v>
      </c>
      <c r="B23" t="s">
        <v>45</v>
      </c>
      <c r="C23" t="s">
        <v>46</v>
      </c>
      <c r="D23" t="s">
        <v>47</v>
      </c>
      <c r="E23" t="s">
        <v>48</v>
      </c>
      <c r="F23" t="s">
        <v>49</v>
      </c>
      <c r="G23" t="s">
        <v>146</v>
      </c>
      <c r="H23" t="s">
        <v>10</v>
      </c>
      <c r="I23">
        <v>0</v>
      </c>
      <c r="J23" t="s">
        <v>147</v>
      </c>
      <c r="K23" s="9">
        <v>168</v>
      </c>
      <c r="L23" s="9">
        <v>20.5</v>
      </c>
      <c r="M23" s="9">
        <v>18.8</v>
      </c>
      <c r="N23" t="s">
        <v>14</v>
      </c>
      <c r="O23" s="9">
        <v>1.74</v>
      </c>
      <c r="P23" s="9">
        <v>1.62</v>
      </c>
      <c r="Q23" s="9">
        <v>165</v>
      </c>
      <c r="R23" t="s">
        <v>59</v>
      </c>
      <c r="S23" s="7">
        <v>51</v>
      </c>
      <c r="V23" s="10" t="s">
        <v>143</v>
      </c>
      <c r="X23" s="10" t="s">
        <v>148</v>
      </c>
      <c r="Y23" s="10" t="s">
        <v>149</v>
      </c>
      <c r="Z23" t="s">
        <v>56</v>
      </c>
    </row>
    <row r="24" spans="1:26">
      <c r="A24">
        <v>205</v>
      </c>
      <c r="B24" t="s">
        <v>45</v>
      </c>
      <c r="C24" t="s">
        <v>46</v>
      </c>
      <c r="D24" t="s">
        <v>47</v>
      </c>
      <c r="E24" t="s">
        <v>48</v>
      </c>
      <c r="F24" t="s">
        <v>49</v>
      </c>
      <c r="G24" t="s">
        <v>150</v>
      </c>
      <c r="H24" t="s">
        <v>10</v>
      </c>
      <c r="I24">
        <v>0</v>
      </c>
      <c r="J24" t="s">
        <v>151</v>
      </c>
      <c r="K24" s="9">
        <v>185</v>
      </c>
      <c r="L24" s="9">
        <v>23.5</v>
      </c>
      <c r="M24" s="9">
        <v>21.5</v>
      </c>
      <c r="N24" t="s">
        <v>14</v>
      </c>
      <c r="O24" s="9">
        <v>1.98</v>
      </c>
      <c r="P24" s="9">
        <v>1.85</v>
      </c>
      <c r="Q24" s="9">
        <v>182</v>
      </c>
      <c r="R24" t="s">
        <v>59</v>
      </c>
      <c r="S24" s="7">
        <v>51.5</v>
      </c>
      <c r="V24" s="10" t="s">
        <v>152</v>
      </c>
      <c r="X24" s="10" t="s">
        <v>153</v>
      </c>
      <c r="Y24" s="10" t="s">
        <v>154</v>
      </c>
      <c r="Z24" t="s">
        <v>56</v>
      </c>
    </row>
    <row r="25" spans="1:26">
      <c r="A25">
        <v>206</v>
      </c>
      <c r="B25" t="s">
        <v>45</v>
      </c>
      <c r="C25" t="s">
        <v>46</v>
      </c>
      <c r="D25" t="s">
        <v>47</v>
      </c>
      <c r="E25" t="s">
        <v>48</v>
      </c>
      <c r="F25" t="s">
        <v>49</v>
      </c>
      <c r="G25" t="s">
        <v>155</v>
      </c>
      <c r="H25" t="s">
        <v>10</v>
      </c>
      <c r="I25">
        <v>0</v>
      </c>
      <c r="J25" t="s">
        <v>156</v>
      </c>
      <c r="K25" s="9">
        <v>195</v>
      </c>
      <c r="L25" s="9">
        <v>25.5</v>
      </c>
      <c r="M25" s="9">
        <v>23.5</v>
      </c>
      <c r="N25" t="s">
        <v>14</v>
      </c>
      <c r="O25" s="9">
        <v>2.16</v>
      </c>
      <c r="P25" s="9">
        <v>2.02</v>
      </c>
      <c r="Q25" s="9">
        <v>192</v>
      </c>
      <c r="R25" t="s">
        <v>59</v>
      </c>
      <c r="S25" s="7">
        <v>52</v>
      </c>
      <c r="V25" s="10" t="s">
        <v>152</v>
      </c>
      <c r="X25" s="10" t="s">
        <v>157</v>
      </c>
      <c r="Y25" s="10" t="s">
        <v>158</v>
      </c>
      <c r="Z25" t="s">
        <v>56</v>
      </c>
    </row>
    <row r="26" spans="1:26">
      <c r="A26">
        <v>131</v>
      </c>
      <c r="B26" t="s">
        <v>165</v>
      </c>
      <c r="C26" t="s">
        <v>166</v>
      </c>
      <c r="D26" t="s">
        <v>167</v>
      </c>
      <c r="E26" t="s">
        <v>48</v>
      </c>
      <c r="F26" t="s">
        <v>168</v>
      </c>
      <c r="G26" t="s">
        <v>50</v>
      </c>
      <c r="H26" t="s">
        <v>10</v>
      </c>
      <c r="I26">
        <v>0</v>
      </c>
      <c r="J26" t="s">
        <v>169</v>
      </c>
      <c r="K26" s="9">
        <v>41.16</v>
      </c>
      <c r="L26" s="9">
        <v>7.98</v>
      </c>
      <c r="M26" s="9">
        <v>6.84</v>
      </c>
      <c r="N26" t="s">
        <v>14</v>
      </c>
      <c r="O26" s="9">
        <v>9.869999999999999</v>
      </c>
      <c r="P26" s="9">
        <v>9.630000000000001</v>
      </c>
      <c r="Q26" s="9">
        <v>40.5</v>
      </c>
      <c r="R26" t="s">
        <v>100</v>
      </c>
      <c r="S26" s="7">
        <v>54</v>
      </c>
      <c r="V26" s="10" t="s">
        <v>170</v>
      </c>
      <c r="X26" s="10" t="s">
        <v>171</v>
      </c>
      <c r="Y26" s="10" t="s">
        <v>172</v>
      </c>
      <c r="Z26" t="s">
        <v>56</v>
      </c>
    </row>
    <row r="27" spans="1:26">
      <c r="A27">
        <v>132</v>
      </c>
      <c r="B27" t="s">
        <v>165</v>
      </c>
      <c r="C27" t="s">
        <v>166</v>
      </c>
      <c r="D27" t="s">
        <v>167</v>
      </c>
      <c r="E27" t="s">
        <v>48</v>
      </c>
      <c r="F27" t="s">
        <v>168</v>
      </c>
      <c r="G27" t="s">
        <v>57</v>
      </c>
      <c r="H27" t="s">
        <v>10</v>
      </c>
      <c r="I27">
        <v>0</v>
      </c>
      <c r="J27" t="s">
        <v>58</v>
      </c>
      <c r="K27" s="9">
        <v>38.3</v>
      </c>
      <c r="L27" s="9">
        <v>6.38</v>
      </c>
      <c r="M27" s="9">
        <v>6.96</v>
      </c>
      <c r="N27" t="s">
        <v>14</v>
      </c>
      <c r="O27" s="9">
        <v>10.13</v>
      </c>
      <c r="P27" s="9">
        <v>8.210000000000001</v>
      </c>
      <c r="Q27" s="9">
        <v>37.5</v>
      </c>
      <c r="R27" t="s">
        <v>59</v>
      </c>
      <c r="S27" s="7">
        <v>52</v>
      </c>
      <c r="V27" s="10" t="s">
        <v>173</v>
      </c>
      <c r="X27" s="10" t="s">
        <v>174</v>
      </c>
      <c r="Y27" s="10" t="s">
        <v>175</v>
      </c>
      <c r="Z27" t="s">
        <v>56</v>
      </c>
    </row>
    <row r="28" spans="1:26">
      <c r="A28">
        <v>133</v>
      </c>
      <c r="B28" t="s">
        <v>165</v>
      </c>
      <c r="C28" t="s">
        <v>166</v>
      </c>
      <c r="D28" t="s">
        <v>167</v>
      </c>
      <c r="E28" t="s">
        <v>48</v>
      </c>
      <c r="F28" t="s">
        <v>168</v>
      </c>
      <c r="G28" t="s">
        <v>62</v>
      </c>
      <c r="H28" t="s">
        <v>10</v>
      </c>
      <c r="I28">
        <v>0</v>
      </c>
      <c r="J28" t="s">
        <v>63</v>
      </c>
      <c r="K28" s="9">
        <v>46.17</v>
      </c>
      <c r="L28" s="9">
        <v>11.21</v>
      </c>
      <c r="M28" s="9">
        <v>11.25</v>
      </c>
      <c r="N28" t="s">
        <v>14</v>
      </c>
      <c r="O28" s="9">
        <v>16.4</v>
      </c>
      <c r="P28" s="9">
        <v>11.29</v>
      </c>
      <c r="Q28" s="9">
        <v>42.7</v>
      </c>
      <c r="R28" t="s">
        <v>59</v>
      </c>
      <c r="S28" s="7">
        <v>54.5</v>
      </c>
      <c r="V28" s="10" t="s">
        <v>176</v>
      </c>
      <c r="X28" s="10" t="s">
        <v>177</v>
      </c>
      <c r="Y28" s="10" t="s">
        <v>178</v>
      </c>
      <c r="Z28" t="s">
        <v>56</v>
      </c>
    </row>
    <row r="29" spans="1:26">
      <c r="A29">
        <v>134</v>
      </c>
      <c r="B29" t="s">
        <v>165</v>
      </c>
      <c r="C29" t="s">
        <v>166</v>
      </c>
      <c r="D29" t="s">
        <v>167</v>
      </c>
      <c r="E29" t="s">
        <v>48</v>
      </c>
      <c r="F29" t="s">
        <v>168</v>
      </c>
      <c r="G29" t="s">
        <v>66</v>
      </c>
      <c r="H29" t="s">
        <v>10</v>
      </c>
      <c r="I29">
        <v>0</v>
      </c>
      <c r="J29" t="s">
        <v>67</v>
      </c>
      <c r="K29" s="9">
        <v>56.9</v>
      </c>
      <c r="L29" s="9">
        <v>15.65</v>
      </c>
      <c r="M29" s="9">
        <v>15.23</v>
      </c>
      <c r="N29" t="s">
        <v>14</v>
      </c>
      <c r="O29" s="9">
        <v>22.3</v>
      </c>
      <c r="P29" s="9">
        <v>15.9</v>
      </c>
      <c r="Q29" s="9">
        <v>53</v>
      </c>
      <c r="R29" t="s">
        <v>59</v>
      </c>
      <c r="S29" s="7">
        <v>53.5</v>
      </c>
      <c r="V29" s="10" t="s">
        <v>179</v>
      </c>
      <c r="X29" s="10" t="s">
        <v>180</v>
      </c>
      <c r="Y29" s="10" t="s">
        <v>181</v>
      </c>
      <c r="Z29" t="s">
        <v>56</v>
      </c>
    </row>
    <row r="30" spans="1:26">
      <c r="A30">
        <v>135</v>
      </c>
      <c r="B30" t="s">
        <v>165</v>
      </c>
      <c r="C30" t="s">
        <v>166</v>
      </c>
      <c r="D30" t="s">
        <v>167</v>
      </c>
      <c r="E30" t="s">
        <v>48</v>
      </c>
      <c r="F30" t="s">
        <v>168</v>
      </c>
      <c r="G30" t="s">
        <v>71</v>
      </c>
      <c r="H30" t="s">
        <v>10</v>
      </c>
      <c r="I30">
        <v>0</v>
      </c>
      <c r="J30" t="s">
        <v>182</v>
      </c>
      <c r="K30" s="9">
        <v>55.31</v>
      </c>
      <c r="L30" s="9">
        <v>16.44</v>
      </c>
      <c r="M30" s="9">
        <v>17.93</v>
      </c>
      <c r="N30" t="s">
        <v>14</v>
      </c>
      <c r="O30" s="9">
        <v>26.29</v>
      </c>
      <c r="P30" s="9">
        <v>15.82</v>
      </c>
      <c r="Q30" s="9">
        <v>51.5</v>
      </c>
      <c r="R30" t="s">
        <v>59</v>
      </c>
      <c r="S30" s="7">
        <v>57</v>
      </c>
      <c r="V30" s="10" t="s">
        <v>179</v>
      </c>
      <c r="X30" s="10" t="s">
        <v>183</v>
      </c>
      <c r="Y30" s="10" t="s">
        <v>184</v>
      </c>
      <c r="Z30" t="s">
        <v>56</v>
      </c>
    </row>
    <row r="31" spans="1:26">
      <c r="A31">
        <v>136</v>
      </c>
      <c r="B31" t="s">
        <v>165</v>
      </c>
      <c r="C31" t="s">
        <v>166</v>
      </c>
      <c r="D31" t="s">
        <v>167</v>
      </c>
      <c r="E31" t="s">
        <v>48</v>
      </c>
      <c r="F31" t="s">
        <v>168</v>
      </c>
      <c r="G31" t="s">
        <v>75</v>
      </c>
      <c r="H31" t="s">
        <v>10</v>
      </c>
      <c r="I31">
        <v>0</v>
      </c>
      <c r="J31" t="s">
        <v>185</v>
      </c>
      <c r="K31" s="9">
        <v>61.88</v>
      </c>
      <c r="L31" s="9">
        <v>19.36</v>
      </c>
      <c r="M31" s="9">
        <v>18.53</v>
      </c>
      <c r="N31" t="s">
        <v>14</v>
      </c>
      <c r="O31" s="9">
        <v>27.26</v>
      </c>
      <c r="P31" s="9">
        <v>19.34</v>
      </c>
      <c r="Q31" s="9">
        <v>56.3</v>
      </c>
      <c r="R31" t="s">
        <v>59</v>
      </c>
      <c r="S31" s="7">
        <v>57.5</v>
      </c>
      <c r="V31" s="10" t="s">
        <v>186</v>
      </c>
      <c r="X31" s="10" t="s">
        <v>187</v>
      </c>
      <c r="Y31" s="10" t="s">
        <v>188</v>
      </c>
      <c r="Z31" t="s">
        <v>56</v>
      </c>
    </row>
    <row r="32" spans="1:26">
      <c r="A32">
        <v>137</v>
      </c>
      <c r="B32" t="s">
        <v>165</v>
      </c>
      <c r="C32" t="s">
        <v>166</v>
      </c>
      <c r="D32" t="s">
        <v>167</v>
      </c>
      <c r="E32" t="s">
        <v>48</v>
      </c>
      <c r="F32" t="s">
        <v>168</v>
      </c>
      <c r="G32" t="s">
        <v>80</v>
      </c>
      <c r="H32" t="s">
        <v>10</v>
      </c>
      <c r="I32">
        <v>0</v>
      </c>
      <c r="J32" t="s">
        <v>189</v>
      </c>
      <c r="K32" s="9">
        <v>65.12</v>
      </c>
      <c r="L32" s="9">
        <v>21.03</v>
      </c>
      <c r="M32" s="9">
        <v>18.94</v>
      </c>
      <c r="N32" t="s">
        <v>14</v>
      </c>
      <c r="O32" s="9">
        <v>27.99</v>
      </c>
      <c r="P32" s="9">
        <v>23.48</v>
      </c>
      <c r="Q32" s="9">
        <v>63.3</v>
      </c>
      <c r="R32" t="s">
        <v>59</v>
      </c>
      <c r="S32" s="7">
        <v>58</v>
      </c>
      <c r="V32" s="10" t="s">
        <v>186</v>
      </c>
      <c r="X32" s="10" t="s">
        <v>190</v>
      </c>
      <c r="Y32" s="10" t="s">
        <v>191</v>
      </c>
      <c r="Z32" t="s">
        <v>56</v>
      </c>
    </row>
    <row r="33" spans="1:26">
      <c r="A33">
        <v>138</v>
      </c>
      <c r="B33" t="s">
        <v>165</v>
      </c>
      <c r="C33" t="s">
        <v>166</v>
      </c>
      <c r="D33" t="s">
        <v>167</v>
      </c>
      <c r="E33" t="s">
        <v>48</v>
      </c>
      <c r="F33" t="s">
        <v>168</v>
      </c>
      <c r="G33" t="s">
        <v>85</v>
      </c>
      <c r="H33" t="s">
        <v>10</v>
      </c>
      <c r="I33">
        <v>0</v>
      </c>
      <c r="J33" t="s">
        <v>192</v>
      </c>
      <c r="K33" s="9">
        <v>75.33</v>
      </c>
      <c r="L33" s="9">
        <v>21.89</v>
      </c>
      <c r="M33" s="9">
        <v>20.64</v>
      </c>
      <c r="N33" t="s">
        <v>14</v>
      </c>
      <c r="O33" s="9">
        <v>30.69</v>
      </c>
      <c r="P33" s="9">
        <v>27.56</v>
      </c>
      <c r="Q33" s="9">
        <v>72.2</v>
      </c>
      <c r="R33" t="s">
        <v>59</v>
      </c>
      <c r="S33" s="7">
        <v>56.5</v>
      </c>
      <c r="V33" s="10" t="s">
        <v>179</v>
      </c>
      <c r="X33" s="10" t="s">
        <v>193</v>
      </c>
      <c r="Y33" s="10" t="s">
        <v>194</v>
      </c>
      <c r="Z33" t="s">
        <v>56</v>
      </c>
    </row>
    <row r="34" spans="1:26">
      <c r="A34">
        <v>139</v>
      </c>
      <c r="B34" t="s">
        <v>165</v>
      </c>
      <c r="C34" t="s">
        <v>166</v>
      </c>
      <c r="D34" t="s">
        <v>167</v>
      </c>
      <c r="E34" t="s">
        <v>48</v>
      </c>
      <c r="F34" t="s">
        <v>168</v>
      </c>
      <c r="G34" t="s">
        <v>89</v>
      </c>
      <c r="H34" t="s">
        <v>10</v>
      </c>
      <c r="I34">
        <v>0</v>
      </c>
      <c r="J34" t="s">
        <v>195</v>
      </c>
      <c r="K34" s="9">
        <v>68.01000000000001</v>
      </c>
      <c r="L34" s="9">
        <v>20.09</v>
      </c>
      <c r="M34" s="9">
        <v>16.44</v>
      </c>
      <c r="N34" t="s">
        <v>14</v>
      </c>
      <c r="O34" s="9">
        <v>1.23</v>
      </c>
      <c r="P34" s="9">
        <v>1.29</v>
      </c>
      <c r="Q34" s="9">
        <v>68.09999999999999</v>
      </c>
      <c r="R34" t="s">
        <v>52</v>
      </c>
      <c r="S34" s="7">
        <v>56.8</v>
      </c>
      <c r="V34" s="10" t="s">
        <v>196</v>
      </c>
      <c r="X34" s="10" t="s">
        <v>197</v>
      </c>
      <c r="Y34" s="10" t="s">
        <v>198</v>
      </c>
      <c r="Z34" t="s">
        <v>56</v>
      </c>
    </row>
    <row r="35" spans="1:26">
      <c r="A35">
        <v>140</v>
      </c>
      <c r="B35" t="s">
        <v>165</v>
      </c>
      <c r="C35" t="s">
        <v>166</v>
      </c>
      <c r="D35" t="s">
        <v>167</v>
      </c>
      <c r="E35" t="s">
        <v>48</v>
      </c>
      <c r="F35" t="s">
        <v>168</v>
      </c>
      <c r="G35" t="s">
        <v>93</v>
      </c>
      <c r="H35" t="s">
        <v>10</v>
      </c>
      <c r="I35">
        <v>0</v>
      </c>
      <c r="J35" t="s">
        <v>199</v>
      </c>
      <c r="K35" s="9">
        <v>69.69</v>
      </c>
      <c r="L35" s="9">
        <v>19.45</v>
      </c>
      <c r="M35" s="9">
        <v>16</v>
      </c>
      <c r="N35" t="s">
        <v>14</v>
      </c>
      <c r="O35" s="9">
        <v>1.21</v>
      </c>
      <c r="P35" s="9">
        <v>1.28</v>
      </c>
      <c r="Q35" s="9">
        <v>70</v>
      </c>
      <c r="R35" t="s">
        <v>52</v>
      </c>
      <c r="S35" s="7">
        <v>56.5</v>
      </c>
      <c r="V35" s="10" t="s">
        <v>200</v>
      </c>
      <c r="X35" s="10" t="s">
        <v>201</v>
      </c>
      <c r="Y35" s="10" t="s">
        <v>202</v>
      </c>
      <c r="Z35" t="s">
        <v>56</v>
      </c>
    </row>
    <row r="36" spans="1:26">
      <c r="A36">
        <v>141</v>
      </c>
      <c r="B36" t="s">
        <v>165</v>
      </c>
      <c r="C36" t="s">
        <v>166</v>
      </c>
      <c r="D36" t="s">
        <v>167</v>
      </c>
      <c r="E36" t="s">
        <v>48</v>
      </c>
      <c r="F36" t="s">
        <v>168</v>
      </c>
      <c r="G36" t="s">
        <v>98</v>
      </c>
      <c r="H36" t="s">
        <v>10</v>
      </c>
      <c r="I36">
        <v>0</v>
      </c>
      <c r="J36" t="s">
        <v>203</v>
      </c>
      <c r="K36" s="9">
        <v>69.09</v>
      </c>
      <c r="L36" s="9">
        <v>17.14</v>
      </c>
      <c r="M36" s="9">
        <v>13.91</v>
      </c>
      <c r="N36" t="s">
        <v>14</v>
      </c>
      <c r="O36" s="9">
        <v>1.06</v>
      </c>
      <c r="P36" s="9">
        <v>1.26</v>
      </c>
      <c r="Q36" s="9">
        <v>70.5</v>
      </c>
      <c r="R36" t="s">
        <v>52</v>
      </c>
      <c r="S36" s="7">
        <v>55</v>
      </c>
      <c r="V36" s="10" t="s">
        <v>204</v>
      </c>
      <c r="X36" s="10" t="s">
        <v>205</v>
      </c>
      <c r="Y36" s="10" t="s">
        <v>206</v>
      </c>
      <c r="Z36" t="s">
        <v>56</v>
      </c>
    </row>
    <row r="37" spans="1:26">
      <c r="A37">
        <v>142</v>
      </c>
      <c r="B37" t="s">
        <v>165</v>
      </c>
      <c r="C37" t="s">
        <v>166</v>
      </c>
      <c r="D37" t="s">
        <v>167</v>
      </c>
      <c r="E37" t="s">
        <v>48</v>
      </c>
      <c r="F37" t="s">
        <v>168</v>
      </c>
      <c r="G37" t="s">
        <v>103</v>
      </c>
      <c r="H37" t="s">
        <v>10</v>
      </c>
      <c r="I37">
        <v>0</v>
      </c>
      <c r="J37" t="s">
        <v>104</v>
      </c>
      <c r="K37" s="9">
        <v>76.05</v>
      </c>
      <c r="L37" s="9">
        <v>18.16</v>
      </c>
      <c r="M37" s="9">
        <v>13.62</v>
      </c>
      <c r="N37" t="s">
        <v>14</v>
      </c>
      <c r="O37" s="9">
        <v>1.05</v>
      </c>
      <c r="P37" s="9">
        <v>1.18</v>
      </c>
      <c r="Q37" s="9">
        <v>76.5</v>
      </c>
      <c r="R37" t="s">
        <v>52</v>
      </c>
      <c r="S37" s="7">
        <v>54</v>
      </c>
      <c r="V37" s="10" t="s">
        <v>207</v>
      </c>
      <c r="X37" s="10" t="s">
        <v>208</v>
      </c>
      <c r="Y37" s="10" t="s">
        <v>209</v>
      </c>
      <c r="Z37" t="s">
        <v>56</v>
      </c>
    </row>
    <row r="38" spans="1:26">
      <c r="A38">
        <v>143</v>
      </c>
      <c r="B38" t="s">
        <v>165</v>
      </c>
      <c r="C38" t="s">
        <v>166</v>
      </c>
      <c r="D38" t="s">
        <v>167</v>
      </c>
      <c r="E38" t="s">
        <v>48</v>
      </c>
      <c r="F38" t="s">
        <v>168</v>
      </c>
      <c r="G38" t="s">
        <v>107</v>
      </c>
      <c r="H38" t="s">
        <v>10</v>
      </c>
      <c r="I38">
        <v>0</v>
      </c>
      <c r="J38" t="s">
        <v>210</v>
      </c>
      <c r="K38" s="9">
        <v>69.79000000000001</v>
      </c>
      <c r="L38" s="9">
        <v>17.42</v>
      </c>
      <c r="M38" s="9">
        <v>15.05</v>
      </c>
      <c r="N38" t="s">
        <v>14</v>
      </c>
      <c r="O38" s="9">
        <v>1.17</v>
      </c>
      <c r="P38" s="9">
        <v>1.07</v>
      </c>
      <c r="Q38" s="9">
        <v>68.90000000000001</v>
      </c>
      <c r="R38" t="s">
        <v>59</v>
      </c>
      <c r="S38" s="7">
        <v>56.7</v>
      </c>
      <c r="V38" s="10" t="s">
        <v>211</v>
      </c>
      <c r="X38" s="10" t="s">
        <v>212</v>
      </c>
      <c r="Y38" s="10" t="s">
        <v>213</v>
      </c>
      <c r="Z38" t="s">
        <v>56</v>
      </c>
    </row>
    <row r="39" spans="1:26">
      <c r="A39">
        <v>144</v>
      </c>
      <c r="B39" t="s">
        <v>165</v>
      </c>
      <c r="C39" t="s">
        <v>166</v>
      </c>
      <c r="D39" t="s">
        <v>167</v>
      </c>
      <c r="E39" t="s">
        <v>48</v>
      </c>
      <c r="F39" t="s">
        <v>168</v>
      </c>
      <c r="G39" t="s">
        <v>112</v>
      </c>
      <c r="H39" t="s">
        <v>10</v>
      </c>
      <c r="I39">
        <v>0</v>
      </c>
      <c r="J39" t="s">
        <v>214</v>
      </c>
      <c r="K39" s="9">
        <v>74.59999999999999</v>
      </c>
      <c r="L39" s="9">
        <v>21.84</v>
      </c>
      <c r="M39" s="9">
        <v>18.37</v>
      </c>
      <c r="N39" t="s">
        <v>14</v>
      </c>
      <c r="O39" s="9">
        <v>1.44</v>
      </c>
      <c r="P39" s="9">
        <v>1.34</v>
      </c>
      <c r="Q39" s="9">
        <v>73</v>
      </c>
      <c r="R39" t="s">
        <v>59</v>
      </c>
      <c r="S39" s="7">
        <v>57.5</v>
      </c>
      <c r="V39" s="10" t="s">
        <v>211</v>
      </c>
      <c r="X39" s="10" t="s">
        <v>215</v>
      </c>
      <c r="Y39" s="10" t="s">
        <v>216</v>
      </c>
      <c r="Z39" t="s">
        <v>56</v>
      </c>
    </row>
    <row r="40" spans="1:26">
      <c r="A40">
        <v>145</v>
      </c>
      <c r="B40" t="s">
        <v>165</v>
      </c>
      <c r="C40" t="s">
        <v>166</v>
      </c>
      <c r="D40" t="s">
        <v>167</v>
      </c>
      <c r="E40" t="s">
        <v>48</v>
      </c>
      <c r="F40" t="s">
        <v>168</v>
      </c>
      <c r="G40" t="s">
        <v>116</v>
      </c>
      <c r="H40" t="s">
        <v>10</v>
      </c>
      <c r="I40">
        <v>0</v>
      </c>
      <c r="J40" t="s">
        <v>217</v>
      </c>
      <c r="K40" s="9">
        <v>76.69</v>
      </c>
      <c r="L40" s="9">
        <v>21.34</v>
      </c>
      <c r="M40" s="9">
        <v>19.69</v>
      </c>
      <c r="N40" t="s">
        <v>14</v>
      </c>
      <c r="O40" s="9">
        <v>1.55</v>
      </c>
      <c r="P40" s="9">
        <v>1.45</v>
      </c>
      <c r="Q40" s="9">
        <v>75.5</v>
      </c>
      <c r="R40" t="s">
        <v>59</v>
      </c>
      <c r="S40" s="7">
        <v>56.5</v>
      </c>
      <c r="V40" s="10" t="s">
        <v>211</v>
      </c>
      <c r="X40" s="10" t="s">
        <v>218</v>
      </c>
      <c r="Y40" s="10" t="s">
        <v>219</v>
      </c>
      <c r="Z40" t="s">
        <v>56</v>
      </c>
    </row>
    <row r="41" spans="1:26">
      <c r="A41">
        <v>146</v>
      </c>
      <c r="B41" t="s">
        <v>165</v>
      </c>
      <c r="C41" t="s">
        <v>166</v>
      </c>
      <c r="D41" t="s">
        <v>167</v>
      </c>
      <c r="E41" t="s">
        <v>48</v>
      </c>
      <c r="F41" t="s">
        <v>168</v>
      </c>
      <c r="G41" t="s">
        <v>120</v>
      </c>
      <c r="H41" t="s">
        <v>10</v>
      </c>
      <c r="I41">
        <v>0</v>
      </c>
      <c r="J41" t="s">
        <v>220</v>
      </c>
      <c r="K41" s="9">
        <v>86.31</v>
      </c>
      <c r="L41" s="9">
        <v>23.7</v>
      </c>
      <c r="M41" s="9">
        <v>20.69</v>
      </c>
      <c r="N41" t="s">
        <v>14</v>
      </c>
      <c r="O41" s="9">
        <v>1.64</v>
      </c>
      <c r="P41" s="9">
        <v>1.59</v>
      </c>
      <c r="Q41" s="9">
        <v>85.3</v>
      </c>
      <c r="R41" t="s">
        <v>59</v>
      </c>
      <c r="S41" s="7">
        <v>56</v>
      </c>
      <c r="V41" s="10" t="s">
        <v>221</v>
      </c>
      <c r="X41" s="10" t="s">
        <v>222</v>
      </c>
      <c r="Y41" s="10" t="s">
        <v>223</v>
      </c>
      <c r="Z41" t="s">
        <v>56</v>
      </c>
    </row>
    <row r="42" spans="1:26">
      <c r="A42">
        <v>147</v>
      </c>
      <c r="B42" t="s">
        <v>165</v>
      </c>
      <c r="C42" t="s">
        <v>166</v>
      </c>
      <c r="D42" t="s">
        <v>167</v>
      </c>
      <c r="E42" t="s">
        <v>48</v>
      </c>
      <c r="F42" t="s">
        <v>168</v>
      </c>
      <c r="G42" t="s">
        <v>124</v>
      </c>
      <c r="H42" t="s">
        <v>10</v>
      </c>
      <c r="I42">
        <v>0</v>
      </c>
      <c r="J42" t="s">
        <v>224</v>
      </c>
      <c r="K42" s="9">
        <v>80.54000000000001</v>
      </c>
      <c r="L42" s="9">
        <v>25.47</v>
      </c>
      <c r="M42" s="9">
        <v>23.66</v>
      </c>
      <c r="N42" t="s">
        <v>14</v>
      </c>
      <c r="O42" s="9">
        <v>1.89</v>
      </c>
      <c r="P42" s="9">
        <v>1.51</v>
      </c>
      <c r="Q42" s="9">
        <v>78.7</v>
      </c>
      <c r="R42" t="s">
        <v>59</v>
      </c>
      <c r="S42" s="7">
        <v>58</v>
      </c>
      <c r="V42" s="10" t="s">
        <v>225</v>
      </c>
      <c r="X42" s="10" t="s">
        <v>226</v>
      </c>
      <c r="Y42" s="10" t="s">
        <v>227</v>
      </c>
      <c r="Z42" t="s">
        <v>56</v>
      </c>
    </row>
    <row r="43" spans="1:26">
      <c r="A43">
        <v>148</v>
      </c>
      <c r="B43" t="s">
        <v>165</v>
      </c>
      <c r="C43" t="s">
        <v>166</v>
      </c>
      <c r="D43" t="s">
        <v>167</v>
      </c>
      <c r="E43" t="s">
        <v>48</v>
      </c>
      <c r="F43" t="s">
        <v>168</v>
      </c>
      <c r="G43" t="s">
        <v>128</v>
      </c>
      <c r="H43" t="s">
        <v>10</v>
      </c>
      <c r="I43">
        <v>0</v>
      </c>
      <c r="J43" t="s">
        <v>228</v>
      </c>
      <c r="K43" s="9">
        <v>84.73999999999999</v>
      </c>
      <c r="L43" s="9">
        <v>27.43</v>
      </c>
      <c r="M43" s="9">
        <v>23.62</v>
      </c>
      <c r="N43" t="s">
        <v>14</v>
      </c>
      <c r="O43" s="9">
        <v>1.89</v>
      </c>
      <c r="P43" s="9">
        <v>1.84</v>
      </c>
      <c r="Q43" s="9">
        <v>84</v>
      </c>
      <c r="R43" t="s">
        <v>59</v>
      </c>
      <c r="S43" s="7">
        <v>58.2</v>
      </c>
      <c r="V43" s="10" t="s">
        <v>225</v>
      </c>
      <c r="X43" s="10" t="s">
        <v>229</v>
      </c>
      <c r="Y43" s="10" t="s">
        <v>230</v>
      </c>
      <c r="Z43" t="s">
        <v>56</v>
      </c>
    </row>
    <row r="44" spans="1:26">
      <c r="A44">
        <v>149</v>
      </c>
      <c r="B44" t="s">
        <v>165</v>
      </c>
      <c r="C44" t="s">
        <v>166</v>
      </c>
      <c r="D44" t="s">
        <v>167</v>
      </c>
      <c r="E44" t="s">
        <v>48</v>
      </c>
      <c r="F44" t="s">
        <v>168</v>
      </c>
      <c r="G44" t="s">
        <v>133</v>
      </c>
      <c r="H44" t="s">
        <v>10</v>
      </c>
      <c r="I44">
        <v>0</v>
      </c>
      <c r="J44" t="s">
        <v>231</v>
      </c>
      <c r="K44" s="9">
        <v>88.27</v>
      </c>
      <c r="L44" s="9">
        <v>28.52</v>
      </c>
      <c r="M44" s="9">
        <v>26.3</v>
      </c>
      <c r="N44" t="s">
        <v>14</v>
      </c>
      <c r="O44" s="9">
        <v>2.12</v>
      </c>
      <c r="P44" s="9">
        <v>1.85</v>
      </c>
      <c r="Q44" s="9">
        <v>86.2</v>
      </c>
      <c r="R44" t="s">
        <v>59</v>
      </c>
      <c r="S44" s="7">
        <v>58</v>
      </c>
      <c r="V44" s="10" t="s">
        <v>232</v>
      </c>
      <c r="X44" s="10" t="s">
        <v>233</v>
      </c>
      <c r="Y44" s="10" t="s">
        <v>234</v>
      </c>
      <c r="Z44" t="s">
        <v>56</v>
      </c>
    </row>
    <row r="45" spans="1:26">
      <c r="A45">
        <v>150</v>
      </c>
      <c r="B45" t="s">
        <v>165</v>
      </c>
      <c r="C45" t="s">
        <v>166</v>
      </c>
      <c r="D45" t="s">
        <v>167</v>
      </c>
      <c r="E45" t="s">
        <v>48</v>
      </c>
      <c r="F45" t="s">
        <v>168</v>
      </c>
      <c r="G45" t="s">
        <v>137</v>
      </c>
      <c r="H45" t="s">
        <v>10</v>
      </c>
      <c r="I45">
        <v>0</v>
      </c>
      <c r="J45" t="s">
        <v>235</v>
      </c>
      <c r="K45" s="9">
        <v>96.47</v>
      </c>
      <c r="L45" s="9">
        <v>30.97</v>
      </c>
      <c r="M45" s="9">
        <v>26.54</v>
      </c>
      <c r="N45" t="s">
        <v>14</v>
      </c>
      <c r="O45" s="9">
        <v>2.15</v>
      </c>
      <c r="P45" s="9">
        <v>2.12</v>
      </c>
      <c r="Q45" s="9">
        <v>95</v>
      </c>
      <c r="R45" t="s">
        <v>59</v>
      </c>
      <c r="S45" s="7">
        <v>57.8</v>
      </c>
      <c r="V45" s="10" t="s">
        <v>236</v>
      </c>
      <c r="X45" s="10" t="s">
        <v>237</v>
      </c>
      <c r="Y45" s="10" t="s">
        <v>238</v>
      </c>
      <c r="Z45" t="s">
        <v>56</v>
      </c>
    </row>
    <row r="46" spans="1:26">
      <c r="A46">
        <v>151</v>
      </c>
      <c r="B46" t="s">
        <v>165</v>
      </c>
      <c r="C46" t="s">
        <v>166</v>
      </c>
      <c r="D46" t="s">
        <v>167</v>
      </c>
      <c r="E46" t="s">
        <v>48</v>
      </c>
      <c r="F46" t="s">
        <v>168</v>
      </c>
      <c r="G46" t="s">
        <v>141</v>
      </c>
      <c r="H46" t="s">
        <v>10</v>
      </c>
      <c r="I46">
        <v>0</v>
      </c>
      <c r="J46" t="s">
        <v>239</v>
      </c>
      <c r="K46" s="9">
        <v>90.23</v>
      </c>
      <c r="L46" s="9">
        <v>28.82</v>
      </c>
      <c r="M46" s="9">
        <v>26.35</v>
      </c>
      <c r="N46" t="s">
        <v>14</v>
      </c>
      <c r="O46" s="9">
        <v>2.14</v>
      </c>
      <c r="P46" s="9">
        <v>1.96</v>
      </c>
      <c r="Q46" s="9">
        <v>88.5</v>
      </c>
      <c r="R46" t="s">
        <v>59</v>
      </c>
      <c r="S46" s="7">
        <v>59</v>
      </c>
      <c r="V46" s="10" t="s">
        <v>240</v>
      </c>
      <c r="X46" s="10" t="s">
        <v>241</v>
      </c>
      <c r="Y46" s="10" t="s">
        <v>242</v>
      </c>
      <c r="Z46" t="s">
        <v>56</v>
      </c>
    </row>
    <row r="47" spans="1:26">
      <c r="A47">
        <v>152</v>
      </c>
      <c r="B47" t="s">
        <v>165</v>
      </c>
      <c r="C47" t="s">
        <v>166</v>
      </c>
      <c r="D47" t="s">
        <v>167</v>
      </c>
      <c r="E47" t="s">
        <v>48</v>
      </c>
      <c r="F47" t="s">
        <v>168</v>
      </c>
      <c r="G47" t="s">
        <v>146</v>
      </c>
      <c r="H47" t="s">
        <v>10</v>
      </c>
      <c r="I47">
        <v>0</v>
      </c>
      <c r="J47" t="s">
        <v>243</v>
      </c>
      <c r="K47" s="9">
        <v>96.428</v>
      </c>
      <c r="L47" s="9">
        <v>31.271</v>
      </c>
      <c r="M47" s="9">
        <v>28.196</v>
      </c>
      <c r="N47" t="s">
        <v>14</v>
      </c>
      <c r="O47" s="9">
        <v>2.31</v>
      </c>
      <c r="P47" s="9">
        <v>2.28</v>
      </c>
      <c r="Q47" s="9">
        <v>96</v>
      </c>
      <c r="R47" t="s">
        <v>59</v>
      </c>
      <c r="S47" s="7">
        <v>58.8</v>
      </c>
      <c r="T47" s="7">
        <v>32.4</v>
      </c>
      <c r="V47" s="10" t="s">
        <v>244</v>
      </c>
      <c r="X47" s="10" t="s">
        <v>245</v>
      </c>
      <c r="Y47" s="10" t="s">
        <v>246</v>
      </c>
      <c r="Z47" t="s">
        <v>56</v>
      </c>
    </row>
    <row r="48" spans="1:26">
      <c r="A48">
        <v>153</v>
      </c>
      <c r="B48" t="s">
        <v>165</v>
      </c>
      <c r="C48" t="s">
        <v>166</v>
      </c>
      <c r="D48" t="s">
        <v>167</v>
      </c>
      <c r="E48" t="s">
        <v>48</v>
      </c>
      <c r="F48" t="s">
        <v>168</v>
      </c>
      <c r="G48" t="s">
        <v>150</v>
      </c>
      <c r="H48" t="s">
        <v>10</v>
      </c>
      <c r="I48">
        <v>0</v>
      </c>
      <c r="J48" t="s">
        <v>247</v>
      </c>
      <c r="K48" s="9">
        <v>110</v>
      </c>
      <c r="L48" s="9">
        <v>37.5</v>
      </c>
      <c r="M48" s="9">
        <v>34</v>
      </c>
      <c r="N48" t="s">
        <v>14</v>
      </c>
      <c r="O48" s="9">
        <v>2.76</v>
      </c>
      <c r="P48" s="9">
        <v>2.6</v>
      </c>
      <c r="Q48" s="9">
        <v>107</v>
      </c>
      <c r="R48" t="s">
        <v>59</v>
      </c>
      <c r="S48" s="7">
        <v>59.5</v>
      </c>
      <c r="V48" s="10" t="s">
        <v>248</v>
      </c>
      <c r="X48" s="10" t="s">
        <v>249</v>
      </c>
      <c r="Y48" s="10" t="s">
        <v>250</v>
      </c>
      <c r="Z48" t="s">
        <v>56</v>
      </c>
    </row>
    <row r="49" spans="1:26">
      <c r="A49">
        <v>154</v>
      </c>
      <c r="B49" t="s">
        <v>165</v>
      </c>
      <c r="C49" t="s">
        <v>166</v>
      </c>
      <c r="D49" t="s">
        <v>167</v>
      </c>
      <c r="E49" t="s">
        <v>48</v>
      </c>
      <c r="F49" t="s">
        <v>168</v>
      </c>
      <c r="G49" t="s">
        <v>155</v>
      </c>
      <c r="H49" t="s">
        <v>10</v>
      </c>
      <c r="I49">
        <v>0</v>
      </c>
      <c r="J49" t="s">
        <v>251</v>
      </c>
      <c r="K49" s="9">
        <v>118</v>
      </c>
      <c r="L49" s="9">
        <v>40.5</v>
      </c>
      <c r="M49" s="9">
        <v>36.5</v>
      </c>
      <c r="N49" t="s">
        <v>14</v>
      </c>
      <c r="O49" s="9">
        <v>2.96</v>
      </c>
      <c r="P49" s="9">
        <v>2.82</v>
      </c>
      <c r="Q49" s="9">
        <v>115</v>
      </c>
      <c r="R49" t="s">
        <v>59</v>
      </c>
      <c r="S49" s="7">
        <v>59.2</v>
      </c>
      <c r="V49" s="10" t="s">
        <v>248</v>
      </c>
      <c r="X49" s="10" t="s">
        <v>252</v>
      </c>
      <c r="Y49" s="10" t="s">
        <v>253</v>
      </c>
      <c r="Z49" t="s">
        <v>56</v>
      </c>
    </row>
    <row r="50" spans="1:26">
      <c r="A50">
        <v>157</v>
      </c>
      <c r="B50" t="s">
        <v>258</v>
      </c>
      <c r="C50" t="s">
        <v>259</v>
      </c>
      <c r="D50" t="s">
        <v>260</v>
      </c>
      <c r="E50" t="s">
        <v>48</v>
      </c>
      <c r="F50" t="s">
        <v>258</v>
      </c>
      <c r="G50" t="s">
        <v>50</v>
      </c>
      <c r="H50" t="s">
        <v>10</v>
      </c>
      <c r="I50">
        <v>0</v>
      </c>
      <c r="J50" t="s">
        <v>261</v>
      </c>
      <c r="K50" s="9">
        <v>17.74</v>
      </c>
      <c r="L50" s="9">
        <v>5.89</v>
      </c>
      <c r="M50" s="9">
        <v>4.9</v>
      </c>
      <c r="N50" t="s">
        <v>14</v>
      </c>
      <c r="O50" s="9">
        <v>1.71</v>
      </c>
      <c r="P50" s="9">
        <v>1.87</v>
      </c>
      <c r="Q50" s="9">
        <v>17.4</v>
      </c>
      <c r="R50" t="s">
        <v>52</v>
      </c>
      <c r="S50" s="7">
        <v>80.3</v>
      </c>
      <c r="V50" s="10" t="s">
        <v>262</v>
      </c>
      <c r="X50" s="10" t="s">
        <v>263</v>
      </c>
      <c r="Y50" s="10" t="s">
        <v>264</v>
      </c>
      <c r="Z50" t="s">
        <v>56</v>
      </c>
    </row>
    <row r="51" spans="1:26">
      <c r="A51">
        <v>158</v>
      </c>
      <c r="B51" t="s">
        <v>258</v>
      </c>
      <c r="C51" t="s">
        <v>259</v>
      </c>
      <c r="D51" t="s">
        <v>260</v>
      </c>
      <c r="E51" t="s">
        <v>48</v>
      </c>
      <c r="F51" t="s">
        <v>258</v>
      </c>
      <c r="G51" t="s">
        <v>57</v>
      </c>
      <c r="H51" t="s">
        <v>10</v>
      </c>
      <c r="I51">
        <v>0</v>
      </c>
      <c r="J51" t="s">
        <v>58</v>
      </c>
      <c r="K51" s="9">
        <v>18.69</v>
      </c>
      <c r="L51" s="9">
        <v>5.96</v>
      </c>
      <c r="M51" s="9">
        <v>5.18</v>
      </c>
      <c r="N51" t="s">
        <v>14</v>
      </c>
      <c r="O51" s="9">
        <v>1.8</v>
      </c>
      <c r="P51" s="9">
        <v>1.39</v>
      </c>
      <c r="Q51" s="9">
        <v>17.3</v>
      </c>
      <c r="R51" t="s">
        <v>59</v>
      </c>
      <c r="S51" s="7">
        <v>79.8</v>
      </c>
      <c r="V51" s="10" t="s">
        <v>262</v>
      </c>
      <c r="X51" s="10" t="s">
        <v>265</v>
      </c>
      <c r="Y51" s="10" t="s">
        <v>266</v>
      </c>
      <c r="Z51" t="s">
        <v>56</v>
      </c>
    </row>
    <row r="52" spans="1:26">
      <c r="A52">
        <v>159</v>
      </c>
      <c r="B52" t="s">
        <v>258</v>
      </c>
      <c r="C52" t="s">
        <v>259</v>
      </c>
      <c r="D52" t="s">
        <v>260</v>
      </c>
      <c r="E52" t="s">
        <v>48</v>
      </c>
      <c r="F52" t="s">
        <v>258</v>
      </c>
      <c r="G52" t="s">
        <v>62</v>
      </c>
      <c r="H52" t="s">
        <v>10</v>
      </c>
      <c r="I52">
        <v>0</v>
      </c>
      <c r="J52" t="s">
        <v>63</v>
      </c>
      <c r="K52" s="9">
        <v>21.47</v>
      </c>
      <c r="L52" s="9">
        <v>8.050000000000001</v>
      </c>
      <c r="M52" s="9">
        <v>7.85</v>
      </c>
      <c r="N52" t="s">
        <v>14</v>
      </c>
      <c r="O52" s="9">
        <v>2.71</v>
      </c>
      <c r="P52" s="9">
        <v>1.91</v>
      </c>
      <c r="Q52" s="9">
        <v>19.8</v>
      </c>
      <c r="R52" t="s">
        <v>59</v>
      </c>
      <c r="S52" s="7">
        <v>80.5</v>
      </c>
      <c r="V52" s="10" t="s">
        <v>262</v>
      </c>
      <c r="X52" s="10" t="s">
        <v>267</v>
      </c>
      <c r="Y52" s="10" t="s">
        <v>268</v>
      </c>
      <c r="Z52" t="s">
        <v>56</v>
      </c>
    </row>
    <row r="53" spans="1:26">
      <c r="A53">
        <v>160</v>
      </c>
      <c r="B53" t="s">
        <v>258</v>
      </c>
      <c r="C53" t="s">
        <v>259</v>
      </c>
      <c r="D53" t="s">
        <v>260</v>
      </c>
      <c r="E53" t="s">
        <v>48</v>
      </c>
      <c r="F53" t="s">
        <v>258</v>
      </c>
      <c r="G53" t="s">
        <v>66</v>
      </c>
      <c r="H53" t="s">
        <v>10</v>
      </c>
      <c r="I53">
        <v>0</v>
      </c>
      <c r="J53" t="s">
        <v>269</v>
      </c>
      <c r="K53" s="9">
        <v>28.07</v>
      </c>
      <c r="L53" s="9">
        <v>12.88</v>
      </c>
      <c r="M53" s="9">
        <v>11.22</v>
      </c>
      <c r="N53" t="s">
        <v>14</v>
      </c>
      <c r="O53" s="9">
        <v>3.88</v>
      </c>
      <c r="P53" s="9">
        <v>3.22</v>
      </c>
      <c r="Q53" s="9">
        <v>26.5</v>
      </c>
      <c r="R53" t="s">
        <v>59</v>
      </c>
      <c r="S53" s="7">
        <v>81.5</v>
      </c>
      <c r="V53" s="10" t="s">
        <v>270</v>
      </c>
      <c r="X53" s="10" t="s">
        <v>271</v>
      </c>
      <c r="Y53" s="10" t="s">
        <v>272</v>
      </c>
      <c r="Z53" t="s">
        <v>56</v>
      </c>
    </row>
    <row r="54" spans="1:26">
      <c r="A54">
        <v>161</v>
      </c>
      <c r="B54" t="s">
        <v>258</v>
      </c>
      <c r="C54" t="s">
        <v>259</v>
      </c>
      <c r="D54" t="s">
        <v>260</v>
      </c>
      <c r="E54" t="s">
        <v>48</v>
      </c>
      <c r="F54" t="s">
        <v>258</v>
      </c>
      <c r="G54" t="s">
        <v>71</v>
      </c>
      <c r="H54" t="s">
        <v>10</v>
      </c>
      <c r="I54">
        <v>0</v>
      </c>
      <c r="J54" t="s">
        <v>273</v>
      </c>
      <c r="K54" s="9">
        <v>26.17</v>
      </c>
      <c r="L54" s="9">
        <v>11.38</v>
      </c>
      <c r="M54" s="9">
        <v>9.5</v>
      </c>
      <c r="N54" t="s">
        <v>14</v>
      </c>
      <c r="O54" s="9">
        <v>3.3</v>
      </c>
      <c r="P54" s="9">
        <v>2.37</v>
      </c>
      <c r="Q54" s="9">
        <v>23.6</v>
      </c>
      <c r="R54" t="s">
        <v>59</v>
      </c>
      <c r="S54" s="7">
        <v>80.5</v>
      </c>
      <c r="V54" s="10" t="s">
        <v>270</v>
      </c>
      <c r="X54" s="10" t="s">
        <v>274</v>
      </c>
      <c r="Y54" s="10" t="s">
        <v>275</v>
      </c>
      <c r="Z54" t="s">
        <v>56</v>
      </c>
    </row>
    <row r="55" spans="1:26">
      <c r="A55">
        <v>162</v>
      </c>
      <c r="B55" t="s">
        <v>258</v>
      </c>
      <c r="C55" t="s">
        <v>259</v>
      </c>
      <c r="D55" t="s">
        <v>260</v>
      </c>
      <c r="E55" t="s">
        <v>48</v>
      </c>
      <c r="F55" t="s">
        <v>258</v>
      </c>
      <c r="G55" t="s">
        <v>75</v>
      </c>
      <c r="H55" t="s">
        <v>10</v>
      </c>
      <c r="I55">
        <v>0</v>
      </c>
      <c r="J55" t="s">
        <v>276</v>
      </c>
      <c r="K55" s="9">
        <v>29.08</v>
      </c>
      <c r="L55" s="9">
        <v>12.37</v>
      </c>
      <c r="M55" s="9">
        <v>10.39</v>
      </c>
      <c r="N55" t="s">
        <v>14</v>
      </c>
      <c r="O55" s="9">
        <v>3.61</v>
      </c>
      <c r="P55" s="9">
        <v>3.03</v>
      </c>
      <c r="Q55" s="9">
        <v>27.8</v>
      </c>
      <c r="R55" t="s">
        <v>59</v>
      </c>
      <c r="S55" s="7">
        <v>81.3</v>
      </c>
      <c r="V55" s="10" t="s">
        <v>277</v>
      </c>
      <c r="X55" s="10" t="s">
        <v>278</v>
      </c>
      <c r="Y55" s="10" t="s">
        <v>279</v>
      </c>
      <c r="Z55" t="s">
        <v>56</v>
      </c>
    </row>
    <row r="56" spans="1:26">
      <c r="A56">
        <v>163</v>
      </c>
      <c r="B56" t="s">
        <v>258</v>
      </c>
      <c r="C56" t="s">
        <v>259</v>
      </c>
      <c r="D56" t="s">
        <v>260</v>
      </c>
      <c r="E56" t="s">
        <v>48</v>
      </c>
      <c r="F56" t="s">
        <v>258</v>
      </c>
      <c r="G56" t="s">
        <v>80</v>
      </c>
      <c r="H56" t="s">
        <v>10</v>
      </c>
      <c r="I56">
        <v>0</v>
      </c>
      <c r="J56" t="s">
        <v>280</v>
      </c>
      <c r="K56" s="9">
        <v>29.01</v>
      </c>
      <c r="L56" s="9">
        <v>10.42</v>
      </c>
      <c r="M56" s="9">
        <v>9.19</v>
      </c>
      <c r="N56" t="s">
        <v>14</v>
      </c>
      <c r="O56" s="9">
        <v>3.22</v>
      </c>
      <c r="P56" s="9">
        <v>3.19</v>
      </c>
      <c r="Q56" s="9">
        <v>29.6</v>
      </c>
      <c r="R56" t="s">
        <v>100</v>
      </c>
      <c r="S56" s="7">
        <v>80.09999999999999</v>
      </c>
      <c r="V56" s="10" t="s">
        <v>277</v>
      </c>
      <c r="X56" s="10" t="s">
        <v>281</v>
      </c>
      <c r="Y56" s="10" t="s">
        <v>282</v>
      </c>
      <c r="Z56" t="s">
        <v>56</v>
      </c>
    </row>
    <row r="57" spans="1:26">
      <c r="A57">
        <v>164</v>
      </c>
      <c r="B57" t="s">
        <v>258</v>
      </c>
      <c r="C57" t="s">
        <v>259</v>
      </c>
      <c r="D57" t="s">
        <v>260</v>
      </c>
      <c r="E57" t="s">
        <v>48</v>
      </c>
      <c r="F57" t="s">
        <v>258</v>
      </c>
      <c r="G57" t="s">
        <v>85</v>
      </c>
      <c r="H57" t="s">
        <v>10</v>
      </c>
      <c r="I57">
        <v>0</v>
      </c>
      <c r="J57" t="s">
        <v>283</v>
      </c>
      <c r="K57" s="9">
        <v>33.67</v>
      </c>
      <c r="L57" s="9">
        <v>12.59</v>
      </c>
      <c r="M57" s="9">
        <v>10.29</v>
      </c>
      <c r="N57" t="s">
        <v>14</v>
      </c>
      <c r="O57" s="9">
        <v>3.67</v>
      </c>
      <c r="P57" s="9">
        <v>3.84</v>
      </c>
      <c r="Q57" s="9">
        <v>33.4</v>
      </c>
      <c r="R57" t="s">
        <v>52</v>
      </c>
      <c r="S57" s="7">
        <v>80.7</v>
      </c>
      <c r="V57" s="10" t="s">
        <v>284</v>
      </c>
      <c r="X57" s="10" t="s">
        <v>285</v>
      </c>
      <c r="Y57" s="10" t="s">
        <v>286</v>
      </c>
      <c r="Z57" t="s">
        <v>56</v>
      </c>
    </row>
    <row r="58" spans="1:26">
      <c r="A58">
        <v>165</v>
      </c>
      <c r="B58" t="s">
        <v>258</v>
      </c>
      <c r="C58" t="s">
        <v>259</v>
      </c>
      <c r="D58" t="s">
        <v>260</v>
      </c>
      <c r="E58" t="s">
        <v>48</v>
      </c>
      <c r="F58" t="s">
        <v>258</v>
      </c>
      <c r="G58" t="s">
        <v>89</v>
      </c>
      <c r="H58" t="s">
        <v>10</v>
      </c>
      <c r="I58">
        <v>0</v>
      </c>
      <c r="J58" t="s">
        <v>287</v>
      </c>
      <c r="K58" s="9">
        <v>27.91</v>
      </c>
      <c r="L58" s="9">
        <v>7.47</v>
      </c>
      <c r="M58" s="9">
        <v>7.47</v>
      </c>
      <c r="N58" t="s">
        <v>14</v>
      </c>
      <c r="O58" s="9">
        <v>2.72</v>
      </c>
      <c r="P58" s="9">
        <v>2.56</v>
      </c>
      <c r="Q58" s="9">
        <v>28.3</v>
      </c>
      <c r="R58" t="s">
        <v>52</v>
      </c>
      <c r="S58" s="7">
        <v>78.5</v>
      </c>
      <c r="V58" s="10" t="s">
        <v>288</v>
      </c>
      <c r="X58" s="10" t="s">
        <v>289</v>
      </c>
      <c r="Y58" s="10" t="s">
        <v>290</v>
      </c>
      <c r="Z58" t="s">
        <v>56</v>
      </c>
    </row>
    <row r="59" spans="1:26">
      <c r="A59">
        <v>166</v>
      </c>
      <c r="B59" t="s">
        <v>258</v>
      </c>
      <c r="C59" t="s">
        <v>259</v>
      </c>
      <c r="D59" t="s">
        <v>260</v>
      </c>
      <c r="E59" t="s">
        <v>48</v>
      </c>
      <c r="F59" t="s">
        <v>258</v>
      </c>
      <c r="G59" t="s">
        <v>93</v>
      </c>
      <c r="H59" t="s">
        <v>10</v>
      </c>
      <c r="I59">
        <v>0</v>
      </c>
      <c r="J59" t="s">
        <v>291</v>
      </c>
      <c r="K59" s="9">
        <v>28.82</v>
      </c>
      <c r="L59" s="9">
        <v>8.359999999999999</v>
      </c>
      <c r="M59" s="9">
        <v>6.69</v>
      </c>
      <c r="N59" t="s">
        <v>14</v>
      </c>
      <c r="O59" s="9">
        <v>2.46</v>
      </c>
      <c r="P59" s="9">
        <v>2.59</v>
      </c>
      <c r="Q59" s="9">
        <v>29</v>
      </c>
      <c r="R59" t="s">
        <v>52</v>
      </c>
      <c r="S59" s="7">
        <v>81.90000000000001</v>
      </c>
      <c r="V59" s="10" t="s">
        <v>292</v>
      </c>
      <c r="X59" s="10" t="s">
        <v>293</v>
      </c>
      <c r="Y59" s="10" t="s">
        <v>294</v>
      </c>
      <c r="Z59" t="s">
        <v>56</v>
      </c>
    </row>
    <row r="60" spans="1:26">
      <c r="A60">
        <v>167</v>
      </c>
      <c r="B60" t="s">
        <v>258</v>
      </c>
      <c r="C60" t="s">
        <v>259</v>
      </c>
      <c r="D60" t="s">
        <v>260</v>
      </c>
      <c r="E60" t="s">
        <v>48</v>
      </c>
      <c r="F60" t="s">
        <v>258</v>
      </c>
      <c r="G60" t="s">
        <v>98</v>
      </c>
      <c r="H60" t="s">
        <v>10</v>
      </c>
      <c r="I60">
        <v>0</v>
      </c>
      <c r="J60" t="s">
        <v>295</v>
      </c>
      <c r="K60" s="9">
        <v>27.71</v>
      </c>
      <c r="L60" s="9">
        <v>5.66</v>
      </c>
      <c r="M60" s="9">
        <v>4.4</v>
      </c>
      <c r="N60" t="s">
        <v>14</v>
      </c>
      <c r="O60" s="9">
        <v>1.64</v>
      </c>
      <c r="P60" s="9">
        <v>1.89</v>
      </c>
      <c r="Q60" s="9">
        <v>27.5</v>
      </c>
      <c r="R60" t="s">
        <v>52</v>
      </c>
      <c r="S60" s="7">
        <v>79.2</v>
      </c>
      <c r="V60" s="10" t="s">
        <v>296</v>
      </c>
      <c r="X60" s="10" t="s">
        <v>297</v>
      </c>
      <c r="Y60" s="10" t="s">
        <v>298</v>
      </c>
      <c r="Z60" t="s">
        <v>56</v>
      </c>
    </row>
    <row r="61" spans="1:26">
      <c r="A61">
        <v>168</v>
      </c>
      <c r="B61" t="s">
        <v>258</v>
      </c>
      <c r="C61" t="s">
        <v>259</v>
      </c>
      <c r="D61" t="s">
        <v>260</v>
      </c>
      <c r="E61" t="s">
        <v>48</v>
      </c>
      <c r="F61" t="s">
        <v>258</v>
      </c>
      <c r="G61" t="s">
        <v>103</v>
      </c>
      <c r="H61" t="s">
        <v>10</v>
      </c>
      <c r="I61">
        <v>0</v>
      </c>
      <c r="J61" t="s">
        <v>299</v>
      </c>
      <c r="K61" s="9">
        <v>32.17</v>
      </c>
      <c r="L61" s="9">
        <v>6.4</v>
      </c>
      <c r="M61" s="9">
        <v>4.65</v>
      </c>
      <c r="N61" t="s">
        <v>14</v>
      </c>
      <c r="O61" s="9">
        <v>1.76</v>
      </c>
      <c r="P61" s="9">
        <v>2.22</v>
      </c>
      <c r="Q61" s="9">
        <v>31.5</v>
      </c>
      <c r="R61" t="s">
        <v>52</v>
      </c>
      <c r="S61" s="7">
        <v>73.8</v>
      </c>
      <c r="V61" s="10" t="s">
        <v>292</v>
      </c>
      <c r="X61" s="10" t="s">
        <v>300</v>
      </c>
      <c r="Y61" s="10" t="s">
        <v>301</v>
      </c>
      <c r="Z61" t="s">
        <v>56</v>
      </c>
    </row>
    <row r="62" spans="1:26">
      <c r="A62">
        <v>169</v>
      </c>
      <c r="B62" t="s">
        <v>258</v>
      </c>
      <c r="C62" t="s">
        <v>259</v>
      </c>
      <c r="D62" t="s">
        <v>260</v>
      </c>
      <c r="E62" t="s">
        <v>48</v>
      </c>
      <c r="F62" t="s">
        <v>258</v>
      </c>
      <c r="G62" t="s">
        <v>107</v>
      </c>
      <c r="H62" t="s">
        <v>10</v>
      </c>
      <c r="I62">
        <v>0</v>
      </c>
      <c r="J62" t="s">
        <v>302</v>
      </c>
      <c r="K62" s="9">
        <v>28.65</v>
      </c>
      <c r="L62" s="9">
        <v>7.22</v>
      </c>
      <c r="M62" s="9">
        <v>5.71</v>
      </c>
      <c r="N62" t="s">
        <v>14</v>
      </c>
      <c r="O62" s="9">
        <v>2.2</v>
      </c>
      <c r="P62" s="9">
        <v>2.03</v>
      </c>
      <c r="Q62" s="9">
        <v>27.7</v>
      </c>
      <c r="R62" t="s">
        <v>59</v>
      </c>
      <c r="S62" s="7">
        <v>78.5</v>
      </c>
      <c r="V62" s="10" t="s">
        <v>292</v>
      </c>
      <c r="X62" s="10" t="s">
        <v>303</v>
      </c>
      <c r="Y62" s="10" t="s">
        <v>304</v>
      </c>
      <c r="Z62" t="s">
        <v>56</v>
      </c>
    </row>
    <row r="63" spans="1:26">
      <c r="A63">
        <v>170</v>
      </c>
      <c r="B63" t="s">
        <v>258</v>
      </c>
      <c r="C63" t="s">
        <v>259</v>
      </c>
      <c r="D63" t="s">
        <v>260</v>
      </c>
      <c r="E63" t="s">
        <v>48</v>
      </c>
      <c r="F63" t="s">
        <v>258</v>
      </c>
      <c r="G63" t="s">
        <v>112</v>
      </c>
      <c r="H63" t="s">
        <v>10</v>
      </c>
      <c r="I63">
        <v>0</v>
      </c>
      <c r="J63" t="s">
        <v>305</v>
      </c>
      <c r="K63" s="9">
        <v>32</v>
      </c>
      <c r="L63" s="9">
        <v>9.390000000000001</v>
      </c>
      <c r="M63" s="9">
        <v>7.79</v>
      </c>
      <c r="N63" t="s">
        <v>14</v>
      </c>
      <c r="O63" s="9">
        <v>2.98</v>
      </c>
      <c r="P63" s="9">
        <v>2.91</v>
      </c>
      <c r="Q63" s="9">
        <v>31.1</v>
      </c>
      <c r="R63" t="s">
        <v>59</v>
      </c>
      <c r="S63" s="7">
        <v>81.40000000000001</v>
      </c>
      <c r="V63" s="10" t="s">
        <v>296</v>
      </c>
      <c r="X63" s="10" t="s">
        <v>306</v>
      </c>
      <c r="Y63" s="10" t="s">
        <v>307</v>
      </c>
      <c r="Z63" t="s">
        <v>56</v>
      </c>
    </row>
    <row r="64" spans="1:26">
      <c r="A64">
        <v>171</v>
      </c>
      <c r="B64" t="s">
        <v>258</v>
      </c>
      <c r="C64" t="s">
        <v>259</v>
      </c>
      <c r="D64" t="s">
        <v>260</v>
      </c>
      <c r="E64" t="s">
        <v>48</v>
      </c>
      <c r="F64" t="s">
        <v>258</v>
      </c>
      <c r="G64" t="s">
        <v>116</v>
      </c>
      <c r="H64" t="s">
        <v>10</v>
      </c>
      <c r="I64">
        <v>0</v>
      </c>
      <c r="J64" t="s">
        <v>308</v>
      </c>
      <c r="K64" s="9">
        <v>34.15</v>
      </c>
      <c r="L64" s="9">
        <v>13.75</v>
      </c>
      <c r="M64" s="9">
        <v>11.58</v>
      </c>
      <c r="N64" t="s">
        <v>14</v>
      </c>
      <c r="O64" s="9">
        <v>4.39</v>
      </c>
      <c r="P64" s="9">
        <v>3.63</v>
      </c>
      <c r="Q64" s="9">
        <v>33.5</v>
      </c>
      <c r="R64" t="s">
        <v>59</v>
      </c>
      <c r="S64" s="7">
        <v>81.8</v>
      </c>
      <c r="V64" s="10" t="s">
        <v>296</v>
      </c>
      <c r="X64" s="10" t="s">
        <v>309</v>
      </c>
      <c r="Y64" s="10" t="s">
        <v>310</v>
      </c>
      <c r="Z64" t="s">
        <v>56</v>
      </c>
    </row>
    <row r="65" spans="1:26">
      <c r="A65">
        <v>172</v>
      </c>
      <c r="B65" t="s">
        <v>258</v>
      </c>
      <c r="C65" t="s">
        <v>259</v>
      </c>
      <c r="D65" t="s">
        <v>260</v>
      </c>
      <c r="E65" t="s">
        <v>48</v>
      </c>
      <c r="F65" t="s">
        <v>258</v>
      </c>
      <c r="G65" t="s">
        <v>120</v>
      </c>
      <c r="H65" t="s">
        <v>10</v>
      </c>
      <c r="I65">
        <v>0</v>
      </c>
      <c r="J65" t="s">
        <v>121</v>
      </c>
      <c r="K65" s="9">
        <v>40.11</v>
      </c>
      <c r="L65" s="9">
        <v>16.38</v>
      </c>
      <c r="M65" s="9">
        <v>14.02</v>
      </c>
      <c r="N65" t="s">
        <v>14</v>
      </c>
      <c r="O65" s="9">
        <v>5.33</v>
      </c>
      <c r="P65" s="9">
        <v>4.96</v>
      </c>
      <c r="Q65" s="9">
        <v>39</v>
      </c>
      <c r="R65" t="s">
        <v>59</v>
      </c>
      <c r="S65" s="7">
        <v>80.8</v>
      </c>
      <c r="V65" s="10" t="s">
        <v>288</v>
      </c>
      <c r="X65" s="10" t="s">
        <v>311</v>
      </c>
      <c r="Y65" s="10" t="s">
        <v>312</v>
      </c>
      <c r="Z65" t="s">
        <v>56</v>
      </c>
    </row>
    <row r="66" spans="1:26">
      <c r="A66">
        <v>173</v>
      </c>
      <c r="B66" t="s">
        <v>258</v>
      </c>
      <c r="C66" t="s">
        <v>259</v>
      </c>
      <c r="D66" t="s">
        <v>260</v>
      </c>
      <c r="E66" t="s">
        <v>48</v>
      </c>
      <c r="F66" t="s">
        <v>258</v>
      </c>
      <c r="G66" t="s">
        <v>124</v>
      </c>
      <c r="H66" t="s">
        <v>10</v>
      </c>
      <c r="I66">
        <v>0</v>
      </c>
      <c r="J66" t="s">
        <v>313</v>
      </c>
      <c r="K66" s="9">
        <v>36.46</v>
      </c>
      <c r="L66" s="9">
        <v>13.82</v>
      </c>
      <c r="M66" s="9">
        <v>12.37</v>
      </c>
      <c r="N66" t="s">
        <v>14</v>
      </c>
      <c r="O66" s="9">
        <v>4.71</v>
      </c>
      <c r="P66" s="9">
        <v>4.32</v>
      </c>
      <c r="Q66" s="9">
        <v>36.1</v>
      </c>
      <c r="R66" t="s">
        <v>59</v>
      </c>
      <c r="S66" s="7">
        <v>81.8</v>
      </c>
      <c r="V66" s="10" t="s">
        <v>296</v>
      </c>
      <c r="X66" s="10" t="s">
        <v>314</v>
      </c>
      <c r="Y66" s="10" t="s">
        <v>315</v>
      </c>
      <c r="Z66" t="s">
        <v>56</v>
      </c>
    </row>
    <row r="67" spans="1:26">
      <c r="A67">
        <v>174</v>
      </c>
      <c r="B67" t="s">
        <v>258</v>
      </c>
      <c r="C67" t="s">
        <v>259</v>
      </c>
      <c r="D67" t="s">
        <v>260</v>
      </c>
      <c r="E67" t="s">
        <v>48</v>
      </c>
      <c r="F67" t="s">
        <v>258</v>
      </c>
      <c r="G67" t="s">
        <v>128</v>
      </c>
      <c r="H67" t="s">
        <v>10</v>
      </c>
      <c r="I67">
        <v>0</v>
      </c>
      <c r="J67" t="s">
        <v>316</v>
      </c>
      <c r="K67" s="9">
        <v>39.07</v>
      </c>
      <c r="L67" s="9">
        <v>14.85</v>
      </c>
      <c r="M67" s="9">
        <v>13.47</v>
      </c>
      <c r="N67" t="s">
        <v>14</v>
      </c>
      <c r="O67" s="9">
        <v>5.16</v>
      </c>
      <c r="P67" s="9">
        <v>4.73</v>
      </c>
      <c r="Q67" s="9">
        <v>38.3</v>
      </c>
      <c r="R67" t="s">
        <v>59</v>
      </c>
      <c r="S67" s="7">
        <v>81.40000000000001</v>
      </c>
      <c r="V67" s="10" t="s">
        <v>296</v>
      </c>
      <c r="X67" s="10" t="s">
        <v>317</v>
      </c>
      <c r="Y67" s="10" t="s">
        <v>318</v>
      </c>
      <c r="Z67" t="s">
        <v>56</v>
      </c>
    </row>
    <row r="68" spans="1:26">
      <c r="A68">
        <v>175</v>
      </c>
      <c r="B68" t="s">
        <v>258</v>
      </c>
      <c r="C68" t="s">
        <v>259</v>
      </c>
      <c r="D68" t="s">
        <v>260</v>
      </c>
      <c r="E68" t="s">
        <v>48</v>
      </c>
      <c r="F68" t="s">
        <v>258</v>
      </c>
      <c r="G68" t="s">
        <v>133</v>
      </c>
      <c r="H68" t="s">
        <v>10</v>
      </c>
      <c r="I68">
        <v>0</v>
      </c>
      <c r="J68" t="s">
        <v>319</v>
      </c>
      <c r="K68" s="9">
        <v>40.59</v>
      </c>
      <c r="L68" s="9">
        <v>17.35</v>
      </c>
      <c r="M68" s="9">
        <v>15.69</v>
      </c>
      <c r="N68" t="s">
        <v>14</v>
      </c>
      <c r="O68" s="9">
        <v>6.03</v>
      </c>
      <c r="P68" s="9">
        <v>5.25</v>
      </c>
      <c r="Q68" s="9">
        <v>40.2</v>
      </c>
      <c r="R68" t="s">
        <v>59</v>
      </c>
      <c r="S68" s="7">
        <v>81.90000000000001</v>
      </c>
      <c r="V68" s="10" t="s">
        <v>296</v>
      </c>
      <c r="X68" s="10" t="s">
        <v>320</v>
      </c>
      <c r="Y68" s="10" t="s">
        <v>321</v>
      </c>
      <c r="Z68" t="s">
        <v>56</v>
      </c>
    </row>
    <row r="69" spans="1:26">
      <c r="A69">
        <v>176</v>
      </c>
      <c r="B69" t="s">
        <v>258</v>
      </c>
      <c r="C69" t="s">
        <v>259</v>
      </c>
      <c r="D69" t="s">
        <v>260</v>
      </c>
      <c r="E69" t="s">
        <v>48</v>
      </c>
      <c r="F69" t="s">
        <v>258</v>
      </c>
      <c r="G69" t="s">
        <v>137</v>
      </c>
      <c r="H69" t="s">
        <v>10</v>
      </c>
      <c r="I69">
        <v>0</v>
      </c>
      <c r="J69" t="s">
        <v>322</v>
      </c>
      <c r="K69" s="9">
        <v>48.39</v>
      </c>
      <c r="L69" s="9">
        <v>21.46</v>
      </c>
      <c r="M69" s="9">
        <v>20.84</v>
      </c>
      <c r="N69" t="s">
        <v>14</v>
      </c>
      <c r="O69" s="9">
        <v>8.02</v>
      </c>
      <c r="P69" s="9">
        <v>6.77</v>
      </c>
      <c r="Q69" s="9">
        <v>46.8</v>
      </c>
      <c r="R69" t="s">
        <v>59</v>
      </c>
      <c r="S69" s="7">
        <v>82</v>
      </c>
      <c r="V69" s="10" t="s">
        <v>292</v>
      </c>
      <c r="X69" s="10" t="s">
        <v>323</v>
      </c>
      <c r="Y69" s="10" t="s">
        <v>324</v>
      </c>
      <c r="Z69" t="s">
        <v>56</v>
      </c>
    </row>
    <row r="70" spans="1:26">
      <c r="A70">
        <v>177</v>
      </c>
      <c r="B70" t="s">
        <v>258</v>
      </c>
      <c r="C70" t="s">
        <v>259</v>
      </c>
      <c r="D70" t="s">
        <v>260</v>
      </c>
      <c r="E70" t="s">
        <v>48</v>
      </c>
      <c r="F70" t="s">
        <v>258</v>
      </c>
      <c r="G70" t="s">
        <v>141</v>
      </c>
      <c r="H70" t="s">
        <v>10</v>
      </c>
      <c r="I70">
        <v>0</v>
      </c>
      <c r="J70" t="s">
        <v>325</v>
      </c>
      <c r="K70" s="9">
        <v>42.31</v>
      </c>
      <c r="L70" s="9">
        <v>17.56</v>
      </c>
      <c r="M70" s="9">
        <v>16.64</v>
      </c>
      <c r="N70" t="s">
        <v>14</v>
      </c>
      <c r="O70" s="9">
        <v>6.43</v>
      </c>
      <c r="P70" s="9">
        <v>5.28</v>
      </c>
      <c r="Q70" s="9">
        <v>41.5</v>
      </c>
      <c r="R70" t="s">
        <v>59</v>
      </c>
      <c r="S70" s="7">
        <v>82.5</v>
      </c>
      <c r="V70" s="10" t="s">
        <v>326</v>
      </c>
      <c r="X70" s="10" t="s">
        <v>327</v>
      </c>
      <c r="Y70" s="10" t="s">
        <v>328</v>
      </c>
      <c r="Z70" t="s">
        <v>56</v>
      </c>
    </row>
    <row r="71" spans="1:26">
      <c r="A71">
        <v>178</v>
      </c>
      <c r="B71" t="s">
        <v>258</v>
      </c>
      <c r="C71" t="s">
        <v>259</v>
      </c>
      <c r="D71" t="s">
        <v>260</v>
      </c>
      <c r="E71" t="s">
        <v>48</v>
      </c>
      <c r="F71" t="s">
        <v>258</v>
      </c>
      <c r="G71" t="s">
        <v>146</v>
      </c>
      <c r="H71" t="s">
        <v>10</v>
      </c>
      <c r="I71">
        <v>0</v>
      </c>
      <c r="J71" t="s">
        <v>329</v>
      </c>
      <c r="K71" s="9">
        <v>47.516</v>
      </c>
      <c r="L71" s="9">
        <v>20.441</v>
      </c>
      <c r="M71" s="9">
        <v>19.93</v>
      </c>
      <c r="N71" t="s">
        <v>14</v>
      </c>
      <c r="O71" s="9">
        <v>7.69</v>
      </c>
      <c r="P71" s="9">
        <v>6.95</v>
      </c>
      <c r="Q71" s="9">
        <v>48</v>
      </c>
      <c r="R71" t="s">
        <v>59</v>
      </c>
      <c r="S71" s="7">
        <v>82.8</v>
      </c>
      <c r="T71" s="7">
        <v>43</v>
      </c>
      <c r="V71" s="10" t="s">
        <v>262</v>
      </c>
      <c r="X71" s="10" t="s">
        <v>330</v>
      </c>
      <c r="Y71" s="10" t="s">
        <v>331</v>
      </c>
      <c r="Z71" t="s">
        <v>56</v>
      </c>
    </row>
    <row r="72" spans="1:26">
      <c r="A72">
        <v>179</v>
      </c>
      <c r="B72" t="s">
        <v>258</v>
      </c>
      <c r="C72" t="s">
        <v>259</v>
      </c>
      <c r="D72" t="s">
        <v>260</v>
      </c>
      <c r="E72" t="s">
        <v>48</v>
      </c>
      <c r="F72" t="s">
        <v>258</v>
      </c>
      <c r="G72" t="s">
        <v>150</v>
      </c>
      <c r="H72" t="s">
        <v>10</v>
      </c>
      <c r="I72">
        <v>0</v>
      </c>
      <c r="J72" t="s">
        <v>151</v>
      </c>
      <c r="K72" s="9">
        <v>55</v>
      </c>
      <c r="L72" s="9">
        <v>24.5</v>
      </c>
      <c r="M72" s="9">
        <v>22.5</v>
      </c>
      <c r="N72" t="s">
        <v>14</v>
      </c>
      <c r="O72" s="9">
        <v>8.699999999999999</v>
      </c>
      <c r="P72" s="9">
        <v>8.1</v>
      </c>
      <c r="Q72" s="9">
        <v>53.5</v>
      </c>
      <c r="R72" t="s">
        <v>59</v>
      </c>
      <c r="S72" s="7">
        <v>83</v>
      </c>
      <c r="V72" s="10" t="s">
        <v>332</v>
      </c>
      <c r="X72" s="10" t="s">
        <v>333</v>
      </c>
      <c r="Y72" s="10" t="s">
        <v>334</v>
      </c>
      <c r="Z72" t="s">
        <v>56</v>
      </c>
    </row>
    <row r="73" spans="1:26">
      <c r="A73">
        <v>180</v>
      </c>
      <c r="B73" t="s">
        <v>258</v>
      </c>
      <c r="C73" t="s">
        <v>259</v>
      </c>
      <c r="D73" t="s">
        <v>260</v>
      </c>
      <c r="E73" t="s">
        <v>48</v>
      </c>
      <c r="F73" t="s">
        <v>258</v>
      </c>
      <c r="G73" t="s">
        <v>155</v>
      </c>
      <c r="H73" t="s">
        <v>10</v>
      </c>
      <c r="I73">
        <v>0</v>
      </c>
      <c r="J73" t="s">
        <v>335</v>
      </c>
      <c r="K73" s="9">
        <v>60</v>
      </c>
      <c r="L73" s="9">
        <v>27</v>
      </c>
      <c r="M73" s="9">
        <v>25</v>
      </c>
      <c r="N73" t="s">
        <v>14</v>
      </c>
      <c r="O73" s="9">
        <v>9.65</v>
      </c>
      <c r="P73" s="9">
        <v>9</v>
      </c>
      <c r="Q73" s="9">
        <v>58.5</v>
      </c>
      <c r="R73" t="s">
        <v>59</v>
      </c>
      <c r="S73" s="7">
        <v>83.2</v>
      </c>
      <c r="V73" s="10" t="s">
        <v>336</v>
      </c>
      <c r="X73" s="10" t="s">
        <v>337</v>
      </c>
      <c r="Y73" s="10" t="s">
        <v>338</v>
      </c>
      <c r="Z73" t="s">
        <v>56</v>
      </c>
    </row>
    <row r="74" spans="1:26">
      <c r="A74">
        <v>105</v>
      </c>
      <c r="B74" t="s">
        <v>342</v>
      </c>
      <c r="C74" t="s">
        <v>343</v>
      </c>
      <c r="D74" t="s">
        <v>344</v>
      </c>
      <c r="E74" t="s">
        <v>48</v>
      </c>
      <c r="F74" t="s">
        <v>345</v>
      </c>
      <c r="G74" t="s">
        <v>50</v>
      </c>
      <c r="H74" t="s">
        <v>10</v>
      </c>
      <c r="I74">
        <v>0</v>
      </c>
      <c r="J74" t="s">
        <v>261</v>
      </c>
      <c r="K74" s="9">
        <v>35.02</v>
      </c>
      <c r="L74" s="9">
        <v>12.98</v>
      </c>
      <c r="M74" s="9">
        <v>10.75</v>
      </c>
      <c r="N74" t="s">
        <v>14</v>
      </c>
      <c r="O74" s="9">
        <v>1.4</v>
      </c>
      <c r="P74" s="9">
        <v>1.26</v>
      </c>
      <c r="Q74" s="9">
        <v>33.6</v>
      </c>
      <c r="R74" t="s">
        <v>59</v>
      </c>
      <c r="S74" s="7">
        <v>69.2</v>
      </c>
      <c r="V74" s="10" t="s">
        <v>346</v>
      </c>
      <c r="X74" s="10" t="s">
        <v>347</v>
      </c>
      <c r="Y74" s="10" t="s">
        <v>348</v>
      </c>
      <c r="Z74" t="s">
        <v>56</v>
      </c>
    </row>
    <row r="75" spans="1:26">
      <c r="A75">
        <v>106</v>
      </c>
      <c r="B75" t="s">
        <v>342</v>
      </c>
      <c r="C75" t="s">
        <v>343</v>
      </c>
      <c r="D75" t="s">
        <v>344</v>
      </c>
      <c r="E75" t="s">
        <v>48</v>
      </c>
      <c r="F75" t="s">
        <v>345</v>
      </c>
      <c r="G75" t="s">
        <v>57</v>
      </c>
      <c r="H75" t="s">
        <v>10</v>
      </c>
      <c r="I75">
        <v>0</v>
      </c>
      <c r="J75" t="s">
        <v>349</v>
      </c>
      <c r="K75" s="9">
        <v>38.03</v>
      </c>
      <c r="L75" s="9">
        <v>13.41</v>
      </c>
      <c r="M75" s="9">
        <v>11.2</v>
      </c>
      <c r="N75" t="s">
        <v>14</v>
      </c>
      <c r="O75" s="9">
        <v>1.46</v>
      </c>
      <c r="P75" s="9">
        <v>1.37</v>
      </c>
      <c r="Q75" s="9">
        <v>36.5</v>
      </c>
      <c r="R75" t="s">
        <v>59</v>
      </c>
      <c r="S75" s="7">
        <v>67.8</v>
      </c>
      <c r="V75" s="10" t="s">
        <v>350</v>
      </c>
      <c r="X75" s="10" t="s">
        <v>351</v>
      </c>
      <c r="Y75" s="10" t="s">
        <v>352</v>
      </c>
      <c r="Z75" t="s">
        <v>56</v>
      </c>
    </row>
    <row r="76" spans="1:26">
      <c r="A76">
        <v>107</v>
      </c>
      <c r="B76" t="s">
        <v>342</v>
      </c>
      <c r="C76" t="s">
        <v>343</v>
      </c>
      <c r="D76" t="s">
        <v>344</v>
      </c>
      <c r="E76" t="s">
        <v>48</v>
      </c>
      <c r="F76" t="s">
        <v>345</v>
      </c>
      <c r="G76" t="s">
        <v>62</v>
      </c>
      <c r="H76" t="s">
        <v>10</v>
      </c>
      <c r="I76">
        <v>0</v>
      </c>
      <c r="J76" t="s">
        <v>353</v>
      </c>
      <c r="K76" s="9">
        <v>37.15</v>
      </c>
      <c r="L76" s="9">
        <v>15.88</v>
      </c>
      <c r="M76" s="9">
        <v>13.89</v>
      </c>
      <c r="N76" t="s">
        <v>14</v>
      </c>
      <c r="O76" s="9">
        <v>1.82</v>
      </c>
      <c r="P76" s="9">
        <v>1.54</v>
      </c>
      <c r="Q76" s="9">
        <v>35.8</v>
      </c>
      <c r="R76" t="s">
        <v>59</v>
      </c>
      <c r="S76" s="7">
        <v>70.09999999999999</v>
      </c>
      <c r="V76" s="10" t="s">
        <v>346</v>
      </c>
      <c r="X76" s="10" t="s">
        <v>354</v>
      </c>
      <c r="Y76" s="10" t="s">
        <v>355</v>
      </c>
      <c r="Z76" t="s">
        <v>56</v>
      </c>
    </row>
    <row r="77" spans="1:26">
      <c r="A77">
        <v>108</v>
      </c>
      <c r="B77" t="s">
        <v>342</v>
      </c>
      <c r="C77" t="s">
        <v>343</v>
      </c>
      <c r="D77" t="s">
        <v>344</v>
      </c>
      <c r="E77" t="s">
        <v>48</v>
      </c>
      <c r="F77" t="s">
        <v>345</v>
      </c>
      <c r="G77" t="s">
        <v>66</v>
      </c>
      <c r="H77" t="s">
        <v>10</v>
      </c>
      <c r="I77">
        <v>0</v>
      </c>
      <c r="J77" t="s">
        <v>356</v>
      </c>
      <c r="K77" s="9">
        <v>43.08</v>
      </c>
      <c r="L77" s="9">
        <v>17.9</v>
      </c>
      <c r="M77" s="9">
        <v>15.46</v>
      </c>
      <c r="N77" t="s">
        <v>14</v>
      </c>
      <c r="O77" s="9">
        <v>2.03</v>
      </c>
      <c r="P77" s="9">
        <v>1.64</v>
      </c>
      <c r="Q77" s="9">
        <v>40.2</v>
      </c>
      <c r="R77" t="s">
        <v>59</v>
      </c>
      <c r="S77" s="7">
        <v>68.5</v>
      </c>
      <c r="V77" s="10" t="s">
        <v>357</v>
      </c>
      <c r="X77" s="10" t="s">
        <v>358</v>
      </c>
      <c r="Y77" s="10" t="s">
        <v>359</v>
      </c>
      <c r="Z77" t="s">
        <v>56</v>
      </c>
    </row>
    <row r="78" spans="1:26">
      <c r="A78">
        <v>109</v>
      </c>
      <c r="B78" t="s">
        <v>342</v>
      </c>
      <c r="C78" t="s">
        <v>343</v>
      </c>
      <c r="D78" t="s">
        <v>344</v>
      </c>
      <c r="E78" t="s">
        <v>48</v>
      </c>
      <c r="F78" t="s">
        <v>345</v>
      </c>
      <c r="G78" t="s">
        <v>71</v>
      </c>
      <c r="H78" t="s">
        <v>10</v>
      </c>
      <c r="I78">
        <v>0</v>
      </c>
      <c r="J78" t="s">
        <v>182</v>
      </c>
      <c r="K78" s="9">
        <v>41.71</v>
      </c>
      <c r="L78" s="9">
        <v>17.05</v>
      </c>
      <c r="M78" s="9">
        <v>15.46</v>
      </c>
      <c r="N78" t="s">
        <v>14</v>
      </c>
      <c r="O78" s="9">
        <v>2.03</v>
      </c>
      <c r="P78" s="9">
        <v>1.78</v>
      </c>
      <c r="Q78" s="9">
        <v>40.9</v>
      </c>
      <c r="R78" t="s">
        <v>59</v>
      </c>
      <c r="S78" s="7">
        <v>68.90000000000001</v>
      </c>
      <c r="V78" s="10" t="s">
        <v>360</v>
      </c>
      <c r="X78" s="10" t="s">
        <v>361</v>
      </c>
      <c r="Y78" s="10" t="s">
        <v>362</v>
      </c>
      <c r="Z78" t="s">
        <v>56</v>
      </c>
    </row>
    <row r="79" spans="1:26">
      <c r="A79">
        <v>110</v>
      </c>
      <c r="B79" t="s">
        <v>342</v>
      </c>
      <c r="C79" t="s">
        <v>343</v>
      </c>
      <c r="D79" t="s">
        <v>344</v>
      </c>
      <c r="E79" t="s">
        <v>48</v>
      </c>
      <c r="F79" t="s">
        <v>345</v>
      </c>
      <c r="G79" t="s">
        <v>75</v>
      </c>
      <c r="H79" t="s">
        <v>10</v>
      </c>
      <c r="I79">
        <v>0</v>
      </c>
      <c r="J79" t="s">
        <v>185</v>
      </c>
      <c r="K79" s="9">
        <v>46.15</v>
      </c>
      <c r="L79" s="9">
        <v>19.1</v>
      </c>
      <c r="M79" s="9">
        <v>16.46</v>
      </c>
      <c r="N79" t="s">
        <v>14</v>
      </c>
      <c r="O79" s="9">
        <v>2.17</v>
      </c>
      <c r="P79" s="9">
        <v>1.92</v>
      </c>
      <c r="Q79" s="9">
        <v>44.3</v>
      </c>
      <c r="R79" t="s">
        <v>59</v>
      </c>
      <c r="S79" s="7">
        <v>69.8</v>
      </c>
      <c r="V79" s="10" t="s">
        <v>363</v>
      </c>
      <c r="X79" s="10" t="s">
        <v>364</v>
      </c>
      <c r="Y79" s="10" t="s">
        <v>365</v>
      </c>
      <c r="Z79" t="s">
        <v>56</v>
      </c>
    </row>
    <row r="80" spans="1:26">
      <c r="A80">
        <v>111</v>
      </c>
      <c r="B80" t="s">
        <v>342</v>
      </c>
      <c r="C80" t="s">
        <v>343</v>
      </c>
      <c r="D80" t="s">
        <v>344</v>
      </c>
      <c r="E80" t="s">
        <v>48</v>
      </c>
      <c r="F80" t="s">
        <v>345</v>
      </c>
      <c r="G80" t="s">
        <v>80</v>
      </c>
      <c r="H80" t="s">
        <v>10</v>
      </c>
      <c r="I80">
        <v>0</v>
      </c>
      <c r="J80" t="s">
        <v>189</v>
      </c>
      <c r="K80" s="9">
        <v>45.32</v>
      </c>
      <c r="L80" s="9">
        <v>20.24</v>
      </c>
      <c r="M80" s="9">
        <v>20.51</v>
      </c>
      <c r="N80" t="s">
        <v>14</v>
      </c>
      <c r="O80" s="9">
        <v>2.71</v>
      </c>
      <c r="P80" s="9">
        <v>2.08</v>
      </c>
      <c r="Q80" s="9">
        <v>44</v>
      </c>
      <c r="R80" t="s">
        <v>59</v>
      </c>
      <c r="S80" s="7">
        <v>69.8</v>
      </c>
      <c r="V80" s="10" t="s">
        <v>366</v>
      </c>
      <c r="X80" s="10" t="s">
        <v>367</v>
      </c>
      <c r="Y80" s="10" t="s">
        <v>368</v>
      </c>
      <c r="Z80" t="s">
        <v>56</v>
      </c>
    </row>
    <row r="81" spans="1:26">
      <c r="A81">
        <v>112</v>
      </c>
      <c r="B81" t="s">
        <v>342</v>
      </c>
      <c r="C81" t="s">
        <v>343</v>
      </c>
      <c r="D81" t="s">
        <v>344</v>
      </c>
      <c r="E81" t="s">
        <v>48</v>
      </c>
      <c r="F81" t="s">
        <v>345</v>
      </c>
      <c r="G81" t="s">
        <v>85</v>
      </c>
      <c r="H81" t="s">
        <v>10</v>
      </c>
      <c r="I81">
        <v>0</v>
      </c>
      <c r="J81" t="s">
        <v>369</v>
      </c>
      <c r="K81" s="9">
        <v>51.73</v>
      </c>
      <c r="L81" s="9">
        <v>22.25</v>
      </c>
      <c r="M81" s="9">
        <v>18.77</v>
      </c>
      <c r="N81" t="s">
        <v>14</v>
      </c>
      <c r="O81" s="9">
        <v>2.48</v>
      </c>
      <c r="P81" s="9">
        <v>2.31</v>
      </c>
      <c r="Q81" s="9">
        <v>50.8</v>
      </c>
      <c r="R81" t="s">
        <v>59</v>
      </c>
      <c r="S81" s="7">
        <v>67</v>
      </c>
      <c r="V81" s="10" t="s">
        <v>370</v>
      </c>
      <c r="X81" s="10" t="s">
        <v>371</v>
      </c>
      <c r="Y81" s="10" t="s">
        <v>372</v>
      </c>
      <c r="Z81" t="s">
        <v>56</v>
      </c>
    </row>
    <row r="82" spans="1:26">
      <c r="A82">
        <v>113</v>
      </c>
      <c r="B82" t="s">
        <v>342</v>
      </c>
      <c r="C82" t="s">
        <v>343</v>
      </c>
      <c r="D82" t="s">
        <v>344</v>
      </c>
      <c r="E82" t="s">
        <v>48</v>
      </c>
      <c r="F82" t="s">
        <v>345</v>
      </c>
      <c r="G82" t="s">
        <v>89</v>
      </c>
      <c r="H82" t="s">
        <v>10</v>
      </c>
      <c r="I82">
        <v>0</v>
      </c>
      <c r="J82" t="s">
        <v>195</v>
      </c>
      <c r="K82" s="9">
        <v>49.36</v>
      </c>
      <c r="L82" s="9">
        <v>20.36</v>
      </c>
      <c r="M82" s="9">
        <v>16.73</v>
      </c>
      <c r="N82" t="s">
        <v>14</v>
      </c>
      <c r="O82" s="9">
        <v>2.22</v>
      </c>
      <c r="P82" s="9">
        <v>2.19</v>
      </c>
      <c r="Q82" s="9">
        <v>49</v>
      </c>
      <c r="R82" t="s">
        <v>100</v>
      </c>
      <c r="S82" s="7">
        <v>68.40000000000001</v>
      </c>
      <c r="V82" s="10" t="s">
        <v>373</v>
      </c>
      <c r="X82" s="10" t="s">
        <v>374</v>
      </c>
      <c r="Y82" s="10" t="s">
        <v>375</v>
      </c>
      <c r="Z82" t="s">
        <v>56</v>
      </c>
    </row>
    <row r="83" spans="1:26">
      <c r="A83">
        <v>114</v>
      </c>
      <c r="B83" t="s">
        <v>342</v>
      </c>
      <c r="C83" t="s">
        <v>343</v>
      </c>
      <c r="D83" t="s">
        <v>344</v>
      </c>
      <c r="E83" t="s">
        <v>48</v>
      </c>
      <c r="F83" t="s">
        <v>345</v>
      </c>
      <c r="G83" t="s">
        <v>93</v>
      </c>
      <c r="H83" t="s">
        <v>10</v>
      </c>
      <c r="I83">
        <v>0</v>
      </c>
      <c r="J83" t="s">
        <v>199</v>
      </c>
      <c r="K83" s="9">
        <v>51.87</v>
      </c>
      <c r="L83" s="9">
        <v>21.15</v>
      </c>
      <c r="M83" s="9">
        <v>16.74</v>
      </c>
      <c r="N83" t="s">
        <v>14</v>
      </c>
      <c r="O83" s="9">
        <v>2.23</v>
      </c>
      <c r="P83" s="9">
        <v>2.29</v>
      </c>
      <c r="Q83" s="9">
        <v>52.5</v>
      </c>
      <c r="R83" t="s">
        <v>52</v>
      </c>
      <c r="S83" s="7">
        <v>68.3</v>
      </c>
      <c r="V83" s="10" t="s">
        <v>376</v>
      </c>
      <c r="X83" s="10" t="s">
        <v>377</v>
      </c>
      <c r="Y83" s="10" t="s">
        <v>378</v>
      </c>
      <c r="Z83" t="s">
        <v>56</v>
      </c>
    </row>
    <row r="84" spans="1:26">
      <c r="A84">
        <v>115</v>
      </c>
      <c r="B84" t="s">
        <v>342</v>
      </c>
      <c r="C84" t="s">
        <v>343</v>
      </c>
      <c r="D84" t="s">
        <v>344</v>
      </c>
      <c r="E84" t="s">
        <v>48</v>
      </c>
      <c r="F84" t="s">
        <v>345</v>
      </c>
      <c r="G84" t="s">
        <v>98</v>
      </c>
      <c r="H84" t="s">
        <v>10</v>
      </c>
      <c r="I84">
        <v>0</v>
      </c>
      <c r="J84" t="s">
        <v>203</v>
      </c>
      <c r="K84" s="9">
        <v>50.12</v>
      </c>
      <c r="L84" s="9">
        <v>21.52</v>
      </c>
      <c r="M84" s="9">
        <v>17.56</v>
      </c>
      <c r="N84" t="s">
        <v>14</v>
      </c>
      <c r="O84" s="9">
        <v>2.35</v>
      </c>
      <c r="P84" s="9">
        <v>2.3</v>
      </c>
      <c r="Q84" s="9">
        <v>49.8</v>
      </c>
      <c r="R84" t="s">
        <v>100</v>
      </c>
      <c r="S84" s="7">
        <v>69.2</v>
      </c>
      <c r="V84" s="10" t="s">
        <v>379</v>
      </c>
      <c r="X84" s="10" t="s">
        <v>380</v>
      </c>
      <c r="Y84" s="10" t="s">
        <v>381</v>
      </c>
      <c r="Z84" t="s">
        <v>56</v>
      </c>
    </row>
    <row r="85" spans="1:26">
      <c r="A85">
        <v>116</v>
      </c>
      <c r="B85" t="s">
        <v>342</v>
      </c>
      <c r="C85" t="s">
        <v>343</v>
      </c>
      <c r="D85" t="s">
        <v>344</v>
      </c>
      <c r="E85" t="s">
        <v>48</v>
      </c>
      <c r="F85" t="s">
        <v>345</v>
      </c>
      <c r="G85" t="s">
        <v>103</v>
      </c>
      <c r="H85" t="s">
        <v>10</v>
      </c>
      <c r="I85">
        <v>0</v>
      </c>
      <c r="J85" t="s">
        <v>382</v>
      </c>
      <c r="K85" s="9">
        <v>52.75</v>
      </c>
      <c r="L85" s="9">
        <v>20.4</v>
      </c>
      <c r="M85" s="9">
        <v>16.43</v>
      </c>
      <c r="N85" t="s">
        <v>14</v>
      </c>
      <c r="O85" s="9">
        <v>2.2</v>
      </c>
      <c r="P85" s="9">
        <v>2.3</v>
      </c>
      <c r="Q85" s="9">
        <v>53</v>
      </c>
      <c r="R85" t="s">
        <v>52</v>
      </c>
      <c r="S85" s="7">
        <v>66.8</v>
      </c>
      <c r="V85" s="10" t="s">
        <v>383</v>
      </c>
      <c r="X85" s="10" t="s">
        <v>384</v>
      </c>
      <c r="Y85" s="10" t="s">
        <v>385</v>
      </c>
      <c r="Z85" t="s">
        <v>56</v>
      </c>
    </row>
    <row r="86" spans="1:26">
      <c r="A86">
        <v>117</v>
      </c>
      <c r="B86" t="s">
        <v>342</v>
      </c>
      <c r="C86" t="s">
        <v>343</v>
      </c>
      <c r="D86" t="s">
        <v>344</v>
      </c>
      <c r="E86" t="s">
        <v>48</v>
      </c>
      <c r="F86" t="s">
        <v>345</v>
      </c>
      <c r="G86" t="s">
        <v>107</v>
      </c>
      <c r="H86" t="s">
        <v>10</v>
      </c>
      <c r="I86">
        <v>0</v>
      </c>
      <c r="J86" t="s">
        <v>210</v>
      </c>
      <c r="K86" s="9">
        <v>52.86</v>
      </c>
      <c r="L86" s="9">
        <v>22.35</v>
      </c>
      <c r="M86" s="9">
        <v>18.3</v>
      </c>
      <c r="N86" t="s">
        <v>14</v>
      </c>
      <c r="O86" s="9">
        <v>2.45</v>
      </c>
      <c r="P86" s="9">
        <v>2.23</v>
      </c>
      <c r="Q86" s="9">
        <v>51.2</v>
      </c>
      <c r="R86" t="s">
        <v>59</v>
      </c>
      <c r="S86" s="7">
        <v>69.5</v>
      </c>
      <c r="V86" s="10" t="s">
        <v>386</v>
      </c>
      <c r="X86" s="10" t="s">
        <v>387</v>
      </c>
      <c r="Y86" s="10" t="s">
        <v>388</v>
      </c>
      <c r="Z86" t="s">
        <v>56</v>
      </c>
    </row>
    <row r="87" spans="1:26">
      <c r="A87">
        <v>118</v>
      </c>
      <c r="B87" t="s">
        <v>342</v>
      </c>
      <c r="C87" t="s">
        <v>343</v>
      </c>
      <c r="D87" t="s">
        <v>344</v>
      </c>
      <c r="E87" t="s">
        <v>48</v>
      </c>
      <c r="F87" t="s">
        <v>345</v>
      </c>
      <c r="G87" t="s">
        <v>112</v>
      </c>
      <c r="H87" t="s">
        <v>10</v>
      </c>
      <c r="I87">
        <v>0</v>
      </c>
      <c r="J87" t="s">
        <v>214</v>
      </c>
      <c r="K87" s="9">
        <v>56.19</v>
      </c>
      <c r="L87" s="9">
        <v>24.25</v>
      </c>
      <c r="M87" s="9">
        <v>20.08</v>
      </c>
      <c r="N87" t="s">
        <v>14</v>
      </c>
      <c r="O87" s="9">
        <v>2.69</v>
      </c>
      <c r="P87" s="9">
        <v>2.55</v>
      </c>
      <c r="Q87" s="9">
        <v>55.5</v>
      </c>
      <c r="R87" t="s">
        <v>59</v>
      </c>
      <c r="S87" s="7">
        <v>69.2</v>
      </c>
      <c r="V87" s="10" t="s">
        <v>389</v>
      </c>
      <c r="X87" s="10" t="s">
        <v>390</v>
      </c>
      <c r="Y87" s="10" t="s">
        <v>391</v>
      </c>
      <c r="Z87" t="s">
        <v>56</v>
      </c>
    </row>
    <row r="88" spans="1:26">
      <c r="A88">
        <v>119</v>
      </c>
      <c r="B88" t="s">
        <v>342</v>
      </c>
      <c r="C88" t="s">
        <v>343</v>
      </c>
      <c r="D88" t="s">
        <v>344</v>
      </c>
      <c r="E88" t="s">
        <v>48</v>
      </c>
      <c r="F88" t="s">
        <v>345</v>
      </c>
      <c r="G88" t="s">
        <v>116</v>
      </c>
      <c r="H88" t="s">
        <v>10</v>
      </c>
      <c r="I88">
        <v>0</v>
      </c>
      <c r="J88" t="s">
        <v>217</v>
      </c>
      <c r="K88" s="9">
        <v>56.52</v>
      </c>
      <c r="L88" s="9">
        <v>26.9</v>
      </c>
      <c r="M88" s="9">
        <v>22.29</v>
      </c>
      <c r="N88" t="s">
        <v>14</v>
      </c>
      <c r="O88" s="9">
        <v>2.99</v>
      </c>
      <c r="P88" s="9">
        <v>2.65</v>
      </c>
      <c r="Q88" s="9">
        <v>54.5</v>
      </c>
      <c r="R88" t="s">
        <v>59</v>
      </c>
      <c r="S88" s="7">
        <v>71.2</v>
      </c>
      <c r="V88" s="10" t="s">
        <v>392</v>
      </c>
      <c r="X88" s="10" t="s">
        <v>393</v>
      </c>
      <c r="Y88" s="10" t="s">
        <v>394</v>
      </c>
      <c r="Z88" t="s">
        <v>56</v>
      </c>
    </row>
    <row r="89" spans="1:26">
      <c r="A89">
        <v>120</v>
      </c>
      <c r="B89" t="s">
        <v>342</v>
      </c>
      <c r="C89" t="s">
        <v>343</v>
      </c>
      <c r="D89" t="s">
        <v>344</v>
      </c>
      <c r="E89" t="s">
        <v>48</v>
      </c>
      <c r="F89" t="s">
        <v>345</v>
      </c>
      <c r="G89" t="s">
        <v>120</v>
      </c>
      <c r="H89" t="s">
        <v>10</v>
      </c>
      <c r="I89">
        <v>0</v>
      </c>
      <c r="J89" t="s">
        <v>220</v>
      </c>
      <c r="K89" s="9">
        <v>62.02</v>
      </c>
      <c r="L89" s="9">
        <v>27.03</v>
      </c>
      <c r="M89" s="9">
        <v>21.87</v>
      </c>
      <c r="N89" t="s">
        <v>14</v>
      </c>
      <c r="O89" s="9">
        <v>2.93</v>
      </c>
      <c r="P89" s="9">
        <v>2.78</v>
      </c>
      <c r="Q89" s="9">
        <v>61.1</v>
      </c>
      <c r="R89" t="s">
        <v>59</v>
      </c>
      <c r="S89" s="7">
        <v>68.40000000000001</v>
      </c>
      <c r="V89" s="10" t="s">
        <v>395</v>
      </c>
      <c r="X89" s="10" t="s">
        <v>396</v>
      </c>
      <c r="Y89" s="10" t="s">
        <v>397</v>
      </c>
      <c r="Z89" t="s">
        <v>56</v>
      </c>
    </row>
    <row r="90" spans="1:26">
      <c r="A90">
        <v>121</v>
      </c>
      <c r="B90" t="s">
        <v>342</v>
      </c>
      <c r="C90" t="s">
        <v>343</v>
      </c>
      <c r="D90" t="s">
        <v>344</v>
      </c>
      <c r="E90" t="s">
        <v>48</v>
      </c>
      <c r="F90" t="s">
        <v>345</v>
      </c>
      <c r="G90" t="s">
        <v>124</v>
      </c>
      <c r="H90" t="s">
        <v>10</v>
      </c>
      <c r="I90">
        <v>0</v>
      </c>
      <c r="J90" t="s">
        <v>224</v>
      </c>
      <c r="K90" s="9">
        <v>61.86</v>
      </c>
      <c r="L90" s="9">
        <v>27.58</v>
      </c>
      <c r="M90" s="9">
        <v>21.94</v>
      </c>
      <c r="N90" t="s">
        <v>14</v>
      </c>
      <c r="O90" s="9">
        <v>2.94</v>
      </c>
      <c r="P90" s="9">
        <v>2.82</v>
      </c>
      <c r="Q90" s="9">
        <v>60.8</v>
      </c>
      <c r="R90" t="s">
        <v>59</v>
      </c>
      <c r="S90" s="7">
        <v>70.09999999999999</v>
      </c>
      <c r="V90" s="10" t="s">
        <v>389</v>
      </c>
      <c r="X90" s="10" t="s">
        <v>398</v>
      </c>
      <c r="Y90" s="10" t="s">
        <v>399</v>
      </c>
      <c r="Z90" t="s">
        <v>56</v>
      </c>
    </row>
    <row r="91" spans="1:26">
      <c r="A91">
        <v>122</v>
      </c>
      <c r="B91" t="s">
        <v>342</v>
      </c>
      <c r="C91" t="s">
        <v>343</v>
      </c>
      <c r="D91" t="s">
        <v>344</v>
      </c>
      <c r="E91" t="s">
        <v>48</v>
      </c>
      <c r="F91" t="s">
        <v>345</v>
      </c>
      <c r="G91" t="s">
        <v>128</v>
      </c>
      <c r="H91" t="s">
        <v>10</v>
      </c>
      <c r="I91">
        <v>0</v>
      </c>
      <c r="J91" t="s">
        <v>400</v>
      </c>
      <c r="K91" s="9">
        <v>64.73</v>
      </c>
      <c r="L91" s="9">
        <v>27.93</v>
      </c>
      <c r="M91" s="9">
        <v>22.04</v>
      </c>
      <c r="N91" t="s">
        <v>14</v>
      </c>
      <c r="O91" s="9">
        <v>2.95</v>
      </c>
      <c r="P91" s="9">
        <v>2.93</v>
      </c>
      <c r="Q91" s="9">
        <v>64.5</v>
      </c>
      <c r="R91" t="s">
        <v>100</v>
      </c>
      <c r="S91" s="7">
        <v>69.7</v>
      </c>
      <c r="V91" s="10" t="s">
        <v>401</v>
      </c>
      <c r="X91" s="10" t="s">
        <v>402</v>
      </c>
      <c r="Y91" s="10" t="s">
        <v>403</v>
      </c>
      <c r="Z91" t="s">
        <v>56</v>
      </c>
    </row>
    <row r="92" spans="1:26">
      <c r="A92">
        <v>123</v>
      </c>
      <c r="B92" t="s">
        <v>342</v>
      </c>
      <c r="C92" t="s">
        <v>343</v>
      </c>
      <c r="D92" t="s">
        <v>344</v>
      </c>
      <c r="E92" t="s">
        <v>48</v>
      </c>
      <c r="F92" t="s">
        <v>345</v>
      </c>
      <c r="G92" t="s">
        <v>133</v>
      </c>
      <c r="H92" t="s">
        <v>10</v>
      </c>
      <c r="I92">
        <v>0</v>
      </c>
      <c r="J92" t="s">
        <v>319</v>
      </c>
      <c r="K92" s="9">
        <v>65.59</v>
      </c>
      <c r="L92" s="9">
        <v>30.55</v>
      </c>
      <c r="M92" s="9">
        <v>24.67</v>
      </c>
      <c r="N92" t="s">
        <v>14</v>
      </c>
      <c r="O92" s="9">
        <v>3.3</v>
      </c>
      <c r="P92" s="9">
        <v>3.1</v>
      </c>
      <c r="Q92" s="9">
        <v>64.5</v>
      </c>
      <c r="R92" t="s">
        <v>59</v>
      </c>
      <c r="S92" s="7">
        <v>69.40000000000001</v>
      </c>
      <c r="V92" s="10" t="s">
        <v>392</v>
      </c>
      <c r="X92" s="10" t="s">
        <v>404</v>
      </c>
      <c r="Y92" s="10" t="s">
        <v>405</v>
      </c>
      <c r="Z92" t="s">
        <v>56</v>
      </c>
    </row>
    <row r="93" spans="1:26">
      <c r="A93">
        <v>124</v>
      </c>
      <c r="B93" t="s">
        <v>342</v>
      </c>
      <c r="C93" t="s">
        <v>343</v>
      </c>
      <c r="D93" t="s">
        <v>344</v>
      </c>
      <c r="E93" t="s">
        <v>48</v>
      </c>
      <c r="F93" t="s">
        <v>345</v>
      </c>
      <c r="G93" t="s">
        <v>137</v>
      </c>
      <c r="H93" t="s">
        <v>10</v>
      </c>
      <c r="I93">
        <v>0</v>
      </c>
      <c r="J93" t="s">
        <v>322</v>
      </c>
      <c r="K93" s="9">
        <v>69.63</v>
      </c>
      <c r="L93" s="9">
        <v>31.64</v>
      </c>
      <c r="M93" s="9">
        <v>24.11</v>
      </c>
      <c r="N93" t="s">
        <v>14</v>
      </c>
      <c r="O93" s="9">
        <v>3.23</v>
      </c>
      <c r="P93" s="9">
        <v>3.11</v>
      </c>
      <c r="Q93" s="9">
        <v>68.8</v>
      </c>
      <c r="R93" t="s">
        <v>59</v>
      </c>
      <c r="S93" s="7">
        <v>69.2</v>
      </c>
      <c r="V93" s="10" t="s">
        <v>406</v>
      </c>
      <c r="X93" s="10" t="s">
        <v>407</v>
      </c>
      <c r="Y93" s="10" t="s">
        <v>408</v>
      </c>
      <c r="Z93" t="s">
        <v>56</v>
      </c>
    </row>
    <row r="94" spans="1:26">
      <c r="A94">
        <v>125</v>
      </c>
      <c r="B94" t="s">
        <v>342</v>
      </c>
      <c r="C94" t="s">
        <v>343</v>
      </c>
      <c r="D94" t="s">
        <v>344</v>
      </c>
      <c r="E94" t="s">
        <v>48</v>
      </c>
      <c r="F94" t="s">
        <v>345</v>
      </c>
      <c r="G94" t="s">
        <v>141</v>
      </c>
      <c r="H94" t="s">
        <v>10</v>
      </c>
      <c r="I94">
        <v>0</v>
      </c>
      <c r="J94" t="s">
        <v>325</v>
      </c>
      <c r="K94" s="9">
        <v>70.06999999999999</v>
      </c>
      <c r="L94" s="9">
        <v>32.05</v>
      </c>
      <c r="M94" s="9">
        <v>25.82</v>
      </c>
      <c r="N94" t="s">
        <v>14</v>
      </c>
      <c r="O94" s="9">
        <v>3.46</v>
      </c>
      <c r="P94" s="9">
        <v>3.22</v>
      </c>
      <c r="Q94" s="9">
        <v>68.5</v>
      </c>
      <c r="R94" t="s">
        <v>59</v>
      </c>
      <c r="S94" s="7">
        <v>69.8</v>
      </c>
      <c r="V94" s="10" t="s">
        <v>409</v>
      </c>
      <c r="X94" s="10" t="s">
        <v>410</v>
      </c>
      <c r="Y94" s="10" t="s">
        <v>411</v>
      </c>
      <c r="Z94" t="s">
        <v>56</v>
      </c>
    </row>
    <row r="95" spans="1:26">
      <c r="A95">
        <v>126</v>
      </c>
      <c r="B95" t="s">
        <v>342</v>
      </c>
      <c r="C95" t="s">
        <v>343</v>
      </c>
      <c r="D95" t="s">
        <v>344</v>
      </c>
      <c r="E95" t="s">
        <v>48</v>
      </c>
      <c r="F95" t="s">
        <v>345</v>
      </c>
      <c r="G95" t="s">
        <v>146</v>
      </c>
      <c r="H95" t="s">
        <v>10</v>
      </c>
      <c r="I95">
        <v>0</v>
      </c>
      <c r="J95" t="s">
        <v>329</v>
      </c>
      <c r="K95" s="9">
        <v>76.441</v>
      </c>
      <c r="L95" s="9">
        <v>34.323</v>
      </c>
      <c r="M95" s="9">
        <v>27.233</v>
      </c>
      <c r="N95" t="s">
        <v>14</v>
      </c>
      <c r="O95" s="9">
        <v>3.65</v>
      </c>
      <c r="P95" s="9">
        <v>3.54</v>
      </c>
      <c r="Q95" s="9">
        <v>71.5</v>
      </c>
      <c r="R95" t="s">
        <v>59</v>
      </c>
      <c r="S95" s="7">
        <v>70.09999999999999</v>
      </c>
      <c r="T95" s="7">
        <v>44.9</v>
      </c>
      <c r="V95" s="10" t="s">
        <v>412</v>
      </c>
      <c r="X95" s="10" t="s">
        <v>413</v>
      </c>
      <c r="Y95" s="10" t="s">
        <v>414</v>
      </c>
      <c r="Z95" t="s">
        <v>56</v>
      </c>
    </row>
    <row r="96" spans="1:26">
      <c r="A96">
        <v>127</v>
      </c>
      <c r="B96" t="s">
        <v>342</v>
      </c>
      <c r="C96" t="s">
        <v>343</v>
      </c>
      <c r="D96" t="s">
        <v>344</v>
      </c>
      <c r="E96" t="s">
        <v>48</v>
      </c>
      <c r="F96" t="s">
        <v>345</v>
      </c>
      <c r="G96" t="s">
        <v>150</v>
      </c>
      <c r="H96" t="s">
        <v>10</v>
      </c>
      <c r="I96">
        <v>0</v>
      </c>
      <c r="J96" t="s">
        <v>247</v>
      </c>
      <c r="K96" s="9">
        <v>78</v>
      </c>
      <c r="L96" s="9">
        <v>36.5</v>
      </c>
      <c r="M96" s="9">
        <v>29.2</v>
      </c>
      <c r="N96" t="s">
        <v>14</v>
      </c>
      <c r="O96" s="9">
        <v>3.9</v>
      </c>
      <c r="P96" s="9">
        <v>3.72</v>
      </c>
      <c r="Q96" s="9">
        <v>76.5</v>
      </c>
      <c r="R96" t="s">
        <v>59</v>
      </c>
      <c r="S96" s="7">
        <v>70.5</v>
      </c>
      <c r="V96" s="10" t="s">
        <v>415</v>
      </c>
      <c r="X96" s="10" t="s">
        <v>416</v>
      </c>
      <c r="Y96" s="10" t="s">
        <v>417</v>
      </c>
      <c r="Z96" t="s">
        <v>56</v>
      </c>
    </row>
    <row r="97" spans="1:26">
      <c r="A97">
        <v>128</v>
      </c>
      <c r="B97" t="s">
        <v>342</v>
      </c>
      <c r="C97" t="s">
        <v>343</v>
      </c>
      <c r="D97" t="s">
        <v>344</v>
      </c>
      <c r="E97" t="s">
        <v>48</v>
      </c>
      <c r="F97" t="s">
        <v>345</v>
      </c>
      <c r="G97" t="s">
        <v>155</v>
      </c>
      <c r="H97" t="s">
        <v>10</v>
      </c>
      <c r="I97">
        <v>0</v>
      </c>
      <c r="J97" t="s">
        <v>251</v>
      </c>
      <c r="K97" s="9">
        <v>90</v>
      </c>
      <c r="L97" s="9">
        <v>40.6</v>
      </c>
      <c r="M97" s="9">
        <v>35.766</v>
      </c>
      <c r="N97" t="s">
        <v>14</v>
      </c>
      <c r="O97" s="9">
        <v>4.81</v>
      </c>
      <c r="P97" s="9">
        <v>4</v>
      </c>
      <c r="Q97" s="9">
        <v>81.5</v>
      </c>
      <c r="R97" t="s">
        <v>59</v>
      </c>
      <c r="S97" s="7">
        <v>70.8</v>
      </c>
      <c r="T97" s="7">
        <v>45.1</v>
      </c>
      <c r="V97" s="10" t="s">
        <v>415</v>
      </c>
      <c r="X97" s="10" t="s">
        <v>418</v>
      </c>
      <c r="Y97" s="10" t="s">
        <v>419</v>
      </c>
      <c r="Z97" t="s">
        <v>56</v>
      </c>
    </row>
    <row r="98" spans="1:26">
      <c r="A98">
        <v>603</v>
      </c>
      <c r="B98" t="s">
        <v>423</v>
      </c>
      <c r="C98" t="s">
        <v>424</v>
      </c>
      <c r="D98" t="s">
        <v>425</v>
      </c>
      <c r="E98" t="s">
        <v>48</v>
      </c>
      <c r="F98" t="s">
        <v>426</v>
      </c>
      <c r="G98" t="s">
        <v>50</v>
      </c>
      <c r="H98" t="s">
        <v>10</v>
      </c>
      <c r="I98">
        <v>0</v>
      </c>
      <c r="J98" t="s">
        <v>427</v>
      </c>
      <c r="K98" s="9">
        <v>9.367000000000001</v>
      </c>
      <c r="L98" s="9">
        <v>3.211</v>
      </c>
      <c r="M98" s="9">
        <v>2.251</v>
      </c>
      <c r="N98" t="s">
        <v>14</v>
      </c>
      <c r="O98" s="9">
        <v>0.72</v>
      </c>
      <c r="T98" s="7">
        <v>34.28</v>
      </c>
      <c r="X98" s="10" t="s">
        <v>428</v>
      </c>
      <c r="Y98" s="11" t="s">
        <v>429</v>
      </c>
      <c r="Z98" t="s">
        <v>430</v>
      </c>
    </row>
    <row r="99" spans="1:26">
      <c r="A99">
        <v>604</v>
      </c>
      <c r="B99" t="s">
        <v>423</v>
      </c>
      <c r="C99" t="s">
        <v>424</v>
      </c>
      <c r="D99" t="s">
        <v>425</v>
      </c>
      <c r="E99" t="s">
        <v>48</v>
      </c>
      <c r="F99" t="s">
        <v>426</v>
      </c>
      <c r="G99" t="s">
        <v>57</v>
      </c>
      <c r="H99" t="s">
        <v>10</v>
      </c>
      <c r="I99">
        <v>0</v>
      </c>
      <c r="J99" t="s">
        <v>431</v>
      </c>
      <c r="K99" s="9">
        <v>9.800000000000001</v>
      </c>
      <c r="L99" s="9">
        <v>3.583</v>
      </c>
      <c r="M99" s="9">
        <v>2.442</v>
      </c>
      <c r="N99" t="s">
        <v>14</v>
      </c>
      <c r="O99" s="9">
        <v>0.8</v>
      </c>
      <c r="T99" s="7">
        <v>36.56</v>
      </c>
      <c r="X99" s="10" t="s">
        <v>428</v>
      </c>
      <c r="Y99" s="11" t="s">
        <v>432</v>
      </c>
      <c r="Z99" t="s">
        <v>430</v>
      </c>
    </row>
    <row r="100" spans="1:26">
      <c r="A100">
        <v>605</v>
      </c>
      <c r="B100" t="s">
        <v>423</v>
      </c>
      <c r="C100" t="s">
        <v>424</v>
      </c>
      <c r="D100" t="s">
        <v>425</v>
      </c>
      <c r="E100" t="s">
        <v>48</v>
      </c>
      <c r="F100" t="s">
        <v>426</v>
      </c>
      <c r="G100" t="s">
        <v>62</v>
      </c>
      <c r="H100" t="s">
        <v>10</v>
      </c>
      <c r="I100">
        <v>0</v>
      </c>
      <c r="J100" t="s">
        <v>433</v>
      </c>
      <c r="K100" s="9">
        <v>9.795999999999999</v>
      </c>
      <c r="L100" s="9">
        <v>3.528</v>
      </c>
      <c r="M100" s="9">
        <v>2.571</v>
      </c>
      <c r="N100" t="s">
        <v>14</v>
      </c>
      <c r="O100" s="9">
        <v>0.79</v>
      </c>
      <c r="T100" s="7">
        <v>36.01</v>
      </c>
      <c r="X100" s="10" t="s">
        <v>428</v>
      </c>
      <c r="Y100" s="11" t="s">
        <v>434</v>
      </c>
      <c r="Z100" t="s">
        <v>430</v>
      </c>
    </row>
    <row r="101" spans="1:26">
      <c r="A101">
        <v>606</v>
      </c>
      <c r="B101" t="s">
        <v>423</v>
      </c>
      <c r="C101" t="s">
        <v>424</v>
      </c>
      <c r="D101" t="s">
        <v>425</v>
      </c>
      <c r="E101" t="s">
        <v>48</v>
      </c>
      <c r="F101" t="s">
        <v>426</v>
      </c>
      <c r="G101" t="s">
        <v>66</v>
      </c>
      <c r="H101" t="s">
        <v>10</v>
      </c>
      <c r="I101">
        <v>0</v>
      </c>
      <c r="J101" t="s">
        <v>435</v>
      </c>
      <c r="K101" s="9">
        <v>10.44</v>
      </c>
      <c r="L101" s="9">
        <v>4.308</v>
      </c>
      <c r="M101" s="9">
        <v>3.116</v>
      </c>
      <c r="N101" t="s">
        <v>14</v>
      </c>
      <c r="T101" s="7">
        <v>41.26</v>
      </c>
      <c r="X101" s="10" t="s">
        <v>436</v>
      </c>
      <c r="Y101" s="11" t="s">
        <v>437</v>
      </c>
      <c r="Z101" t="s">
        <v>430</v>
      </c>
    </row>
    <row r="102" spans="1:26">
      <c r="A102">
        <v>607</v>
      </c>
      <c r="B102" t="s">
        <v>423</v>
      </c>
      <c r="C102" t="s">
        <v>424</v>
      </c>
      <c r="D102" t="s">
        <v>425</v>
      </c>
      <c r="E102" t="s">
        <v>48</v>
      </c>
      <c r="F102" t="s">
        <v>426</v>
      </c>
      <c r="G102" t="s">
        <v>71</v>
      </c>
      <c r="H102" t="s">
        <v>10</v>
      </c>
      <c r="I102">
        <v>0</v>
      </c>
      <c r="J102" t="s">
        <v>438</v>
      </c>
      <c r="K102" s="9">
        <v>9.728</v>
      </c>
      <c r="L102" s="9">
        <v>3.427</v>
      </c>
      <c r="M102" s="9">
        <v>2.457</v>
      </c>
      <c r="N102" t="s">
        <v>14</v>
      </c>
      <c r="O102" s="9">
        <v>0.86</v>
      </c>
      <c r="T102" s="7">
        <v>35.23</v>
      </c>
      <c r="X102" s="10" t="s">
        <v>428</v>
      </c>
      <c r="Y102" s="11" t="s">
        <v>439</v>
      </c>
      <c r="Z102" t="s">
        <v>430</v>
      </c>
    </row>
    <row r="103" spans="1:26">
      <c r="A103">
        <v>608</v>
      </c>
      <c r="B103" t="s">
        <v>423</v>
      </c>
      <c r="C103" t="s">
        <v>424</v>
      </c>
      <c r="D103" t="s">
        <v>425</v>
      </c>
      <c r="E103" t="s">
        <v>48</v>
      </c>
      <c r="F103" t="s">
        <v>426</v>
      </c>
      <c r="G103" t="s">
        <v>75</v>
      </c>
      <c r="H103" t="s">
        <v>10</v>
      </c>
      <c r="I103">
        <v>0</v>
      </c>
      <c r="J103" t="s">
        <v>440</v>
      </c>
      <c r="K103" s="9">
        <v>10.36</v>
      </c>
      <c r="L103" s="9">
        <v>-0.824</v>
      </c>
      <c r="M103" s="9">
        <v>-1.247</v>
      </c>
      <c r="N103" t="s">
        <v>14</v>
      </c>
      <c r="O103" s="9">
        <v>-0.46</v>
      </c>
      <c r="T103" s="7">
        <v>-7.95</v>
      </c>
      <c r="X103" s="10" t="s">
        <v>428</v>
      </c>
      <c r="Y103" s="11" t="s">
        <v>441</v>
      </c>
      <c r="Z103" t="s">
        <v>430</v>
      </c>
    </row>
    <row r="104" spans="1:26">
      <c r="A104">
        <v>609</v>
      </c>
      <c r="B104" t="s">
        <v>423</v>
      </c>
      <c r="C104" t="s">
        <v>424</v>
      </c>
      <c r="D104" t="s">
        <v>425</v>
      </c>
      <c r="E104" t="s">
        <v>48</v>
      </c>
      <c r="F104" t="s">
        <v>426</v>
      </c>
      <c r="G104" t="s">
        <v>80</v>
      </c>
      <c r="H104" t="s">
        <v>10</v>
      </c>
      <c r="I104">
        <v>0</v>
      </c>
      <c r="J104" t="s">
        <v>442</v>
      </c>
      <c r="K104" s="9">
        <v>10.085</v>
      </c>
      <c r="L104" s="9">
        <v>3.878</v>
      </c>
      <c r="M104" s="9">
        <v>5.021</v>
      </c>
      <c r="N104" t="s">
        <v>14</v>
      </c>
      <c r="O104" s="9">
        <v>1.68</v>
      </c>
      <c r="T104" s="7">
        <v>38.45</v>
      </c>
      <c r="X104" s="10" t="s">
        <v>428</v>
      </c>
      <c r="Y104" s="11" t="s">
        <v>443</v>
      </c>
      <c r="Z104" t="s">
        <v>430</v>
      </c>
    </row>
    <row r="105" spans="1:26">
      <c r="A105">
        <v>610</v>
      </c>
      <c r="B105" t="s">
        <v>423</v>
      </c>
      <c r="C105" t="s">
        <v>424</v>
      </c>
      <c r="D105" t="s">
        <v>425</v>
      </c>
      <c r="E105" t="s">
        <v>48</v>
      </c>
      <c r="F105" t="s">
        <v>426</v>
      </c>
      <c r="G105" t="s">
        <v>85</v>
      </c>
      <c r="H105" t="s">
        <v>10</v>
      </c>
      <c r="I105">
        <v>0</v>
      </c>
      <c r="J105" t="s">
        <v>444</v>
      </c>
      <c r="K105" s="9">
        <v>11.227</v>
      </c>
      <c r="L105" s="9">
        <v>4.541</v>
      </c>
      <c r="M105" s="9">
        <v>4.032</v>
      </c>
      <c r="N105" t="s">
        <v>14</v>
      </c>
      <c r="T105" s="7">
        <v>40.45</v>
      </c>
      <c r="X105" s="10" t="s">
        <v>436</v>
      </c>
      <c r="Y105" s="11" t="s">
        <v>445</v>
      </c>
      <c r="Z105" t="s">
        <v>430</v>
      </c>
    </row>
    <row r="106" spans="1:26">
      <c r="A106">
        <v>611</v>
      </c>
      <c r="B106" t="s">
        <v>423</v>
      </c>
      <c r="C106" t="s">
        <v>424</v>
      </c>
      <c r="D106" t="s">
        <v>425</v>
      </c>
      <c r="E106" t="s">
        <v>48</v>
      </c>
      <c r="F106" t="s">
        <v>426</v>
      </c>
      <c r="G106" t="s">
        <v>89</v>
      </c>
      <c r="H106" t="s">
        <v>10</v>
      </c>
      <c r="I106">
        <v>0</v>
      </c>
      <c r="J106" t="s">
        <v>446</v>
      </c>
      <c r="K106" s="9">
        <v>11.445</v>
      </c>
      <c r="L106" s="9">
        <v>2.623</v>
      </c>
      <c r="M106" s="9">
        <v>1.548</v>
      </c>
      <c r="N106" t="s">
        <v>14</v>
      </c>
      <c r="O106" s="9">
        <v>0.5600000000000001</v>
      </c>
      <c r="T106" s="7">
        <v>22.92</v>
      </c>
      <c r="X106" s="10" t="s">
        <v>428</v>
      </c>
      <c r="Y106" s="11" t="s">
        <v>447</v>
      </c>
      <c r="Z106" t="s">
        <v>430</v>
      </c>
    </row>
    <row r="107" spans="1:26">
      <c r="A107">
        <v>612</v>
      </c>
      <c r="B107" t="s">
        <v>423</v>
      </c>
      <c r="C107" t="s">
        <v>424</v>
      </c>
      <c r="D107" t="s">
        <v>425</v>
      </c>
      <c r="E107" t="s">
        <v>48</v>
      </c>
      <c r="F107" t="s">
        <v>426</v>
      </c>
      <c r="G107" t="s">
        <v>93</v>
      </c>
      <c r="H107" t="s">
        <v>10</v>
      </c>
      <c r="I107">
        <v>0</v>
      </c>
      <c r="J107" t="s">
        <v>448</v>
      </c>
      <c r="K107" s="9">
        <v>12.275</v>
      </c>
      <c r="L107" s="9">
        <v>3.071</v>
      </c>
      <c r="M107" s="9">
        <v>1.741</v>
      </c>
      <c r="N107" t="s">
        <v>14</v>
      </c>
      <c r="O107" s="9">
        <v>0.63</v>
      </c>
      <c r="T107" s="7">
        <v>25.02</v>
      </c>
      <c r="X107" s="10" t="s">
        <v>428</v>
      </c>
      <c r="Y107" s="11" t="s">
        <v>449</v>
      </c>
      <c r="Z107" t="s">
        <v>430</v>
      </c>
    </row>
    <row r="108" spans="1:26">
      <c r="A108">
        <v>613</v>
      </c>
      <c r="B108" t="s">
        <v>423</v>
      </c>
      <c r="C108" t="s">
        <v>424</v>
      </c>
      <c r="D108" t="s">
        <v>425</v>
      </c>
      <c r="E108" t="s">
        <v>48</v>
      </c>
      <c r="F108" t="s">
        <v>426</v>
      </c>
      <c r="G108" t="s">
        <v>98</v>
      </c>
      <c r="H108" t="s">
        <v>10</v>
      </c>
      <c r="I108">
        <v>0</v>
      </c>
      <c r="J108" t="s">
        <v>450</v>
      </c>
      <c r="K108" s="9">
        <v>10.513</v>
      </c>
      <c r="L108" s="9">
        <v>3.822</v>
      </c>
      <c r="M108" s="9">
        <v>2.319</v>
      </c>
      <c r="N108" t="s">
        <v>14</v>
      </c>
      <c r="O108" s="9">
        <v>0.84</v>
      </c>
      <c r="T108" s="7">
        <v>36.35</v>
      </c>
      <c r="X108" s="10" t="s">
        <v>428</v>
      </c>
      <c r="Y108" s="11" t="s">
        <v>451</v>
      </c>
      <c r="Z108" t="s">
        <v>430</v>
      </c>
    </row>
    <row r="109" spans="1:26">
      <c r="A109">
        <v>614</v>
      </c>
      <c r="B109" t="s">
        <v>423</v>
      </c>
      <c r="C109" t="s">
        <v>424</v>
      </c>
      <c r="D109" t="s">
        <v>425</v>
      </c>
      <c r="E109" t="s">
        <v>48</v>
      </c>
      <c r="F109" t="s">
        <v>426</v>
      </c>
      <c r="G109" t="s">
        <v>103</v>
      </c>
      <c r="H109" t="s">
        <v>10</v>
      </c>
      <c r="I109">
        <v>0</v>
      </c>
      <c r="J109" t="s">
        <v>452</v>
      </c>
      <c r="K109" s="9">
        <v>11.839</v>
      </c>
      <c r="L109" s="9">
        <v>4.501</v>
      </c>
      <c r="M109" s="9">
        <v>3.188</v>
      </c>
      <c r="N109" t="s">
        <v>14</v>
      </c>
      <c r="T109" s="7">
        <v>38.02</v>
      </c>
      <c r="X109" s="10" t="s">
        <v>436</v>
      </c>
      <c r="Y109" s="11" t="s">
        <v>453</v>
      </c>
      <c r="Z109" t="s">
        <v>430</v>
      </c>
    </row>
    <row r="110" spans="1:26">
      <c r="A110">
        <v>615</v>
      </c>
      <c r="B110" t="s">
        <v>423</v>
      </c>
      <c r="C110" t="s">
        <v>424</v>
      </c>
      <c r="D110" t="s">
        <v>425</v>
      </c>
      <c r="E110" t="s">
        <v>48</v>
      </c>
      <c r="F110" t="s">
        <v>426</v>
      </c>
      <c r="G110" t="s">
        <v>107</v>
      </c>
      <c r="H110" t="s">
        <v>10</v>
      </c>
      <c r="I110">
        <v>0</v>
      </c>
      <c r="J110" t="s">
        <v>454</v>
      </c>
      <c r="K110" s="9">
        <v>12.453</v>
      </c>
      <c r="L110" s="9">
        <v>3.296</v>
      </c>
      <c r="M110" s="9">
        <v>2.42</v>
      </c>
      <c r="N110" t="s">
        <v>14</v>
      </c>
      <c r="O110" s="9">
        <v>0.86</v>
      </c>
      <c r="T110" s="7">
        <v>26.47</v>
      </c>
      <c r="X110" s="10" t="s">
        <v>428</v>
      </c>
      <c r="Y110" s="11" t="s">
        <v>455</v>
      </c>
      <c r="Z110" t="s">
        <v>430</v>
      </c>
    </row>
    <row r="111" spans="1:26">
      <c r="A111">
        <v>616</v>
      </c>
      <c r="B111" t="s">
        <v>423</v>
      </c>
      <c r="C111" t="s">
        <v>424</v>
      </c>
      <c r="D111" t="s">
        <v>425</v>
      </c>
      <c r="E111" t="s">
        <v>48</v>
      </c>
      <c r="F111" t="s">
        <v>426</v>
      </c>
      <c r="G111" t="s">
        <v>112</v>
      </c>
      <c r="H111" t="s">
        <v>10</v>
      </c>
      <c r="I111">
        <v>0</v>
      </c>
      <c r="J111" t="s">
        <v>456</v>
      </c>
      <c r="K111" s="9">
        <v>12.941</v>
      </c>
      <c r="L111" s="9">
        <v>3.622</v>
      </c>
      <c r="M111" s="9">
        <v>2.503</v>
      </c>
      <c r="N111" t="s">
        <v>14</v>
      </c>
      <c r="O111" s="9">
        <v>0.89</v>
      </c>
      <c r="T111" s="7">
        <v>27.99</v>
      </c>
      <c r="X111" s="10" t="s">
        <v>428</v>
      </c>
      <c r="Y111" s="11" t="s">
        <v>457</v>
      </c>
      <c r="Z111" t="s">
        <v>430</v>
      </c>
    </row>
    <row r="112" spans="1:26">
      <c r="A112">
        <v>617</v>
      </c>
      <c r="B112" t="s">
        <v>423</v>
      </c>
      <c r="C112" t="s">
        <v>424</v>
      </c>
      <c r="D112" t="s">
        <v>425</v>
      </c>
      <c r="E112" t="s">
        <v>48</v>
      </c>
      <c r="F112" t="s">
        <v>426</v>
      </c>
      <c r="G112" t="s">
        <v>116</v>
      </c>
      <c r="H112" t="s">
        <v>10</v>
      </c>
      <c r="I112">
        <v>0</v>
      </c>
      <c r="J112" t="s">
        <v>458</v>
      </c>
      <c r="K112" s="9">
        <v>12.398</v>
      </c>
      <c r="L112" s="9">
        <v>3.26</v>
      </c>
      <c r="M112" s="9">
        <v>1.896</v>
      </c>
      <c r="N112" t="s">
        <v>14</v>
      </c>
      <c r="O112" s="9">
        <v>0.68</v>
      </c>
      <c r="T112" s="7">
        <v>26.29</v>
      </c>
      <c r="X112" s="10" t="s">
        <v>428</v>
      </c>
      <c r="Y112" s="11" t="s">
        <v>459</v>
      </c>
      <c r="Z112" t="s">
        <v>430</v>
      </c>
    </row>
    <row r="113" spans="1:26">
      <c r="A113">
        <v>618</v>
      </c>
      <c r="B113" t="s">
        <v>423</v>
      </c>
      <c r="C113" t="s">
        <v>424</v>
      </c>
      <c r="D113" t="s">
        <v>425</v>
      </c>
      <c r="E113" t="s">
        <v>48</v>
      </c>
      <c r="F113" t="s">
        <v>426</v>
      </c>
      <c r="G113" t="s">
        <v>120</v>
      </c>
      <c r="H113" t="s">
        <v>10</v>
      </c>
      <c r="I113">
        <v>0</v>
      </c>
      <c r="J113" t="s">
        <v>460</v>
      </c>
      <c r="K113" s="9">
        <v>13.836</v>
      </c>
      <c r="L113" s="9">
        <v>4.139</v>
      </c>
      <c r="M113" s="9">
        <v>3.318</v>
      </c>
      <c r="N113" t="s">
        <v>14</v>
      </c>
      <c r="T113" s="7">
        <v>29.91</v>
      </c>
      <c r="X113" s="10" t="s">
        <v>436</v>
      </c>
      <c r="Y113" s="11" t="s">
        <v>461</v>
      </c>
      <c r="Z113" t="s">
        <v>430</v>
      </c>
    </row>
    <row r="114" spans="1:26">
      <c r="A114">
        <v>619</v>
      </c>
      <c r="B114" t="s">
        <v>423</v>
      </c>
      <c r="C114" t="s">
        <v>424</v>
      </c>
      <c r="D114" t="s">
        <v>425</v>
      </c>
      <c r="E114" t="s">
        <v>48</v>
      </c>
      <c r="F114" t="s">
        <v>426</v>
      </c>
      <c r="G114" t="s">
        <v>124</v>
      </c>
      <c r="H114" t="s">
        <v>10</v>
      </c>
      <c r="I114">
        <v>0</v>
      </c>
      <c r="J114" t="s">
        <v>462</v>
      </c>
      <c r="K114" s="9">
        <v>13.307</v>
      </c>
      <c r="L114" s="9">
        <v>3.991</v>
      </c>
      <c r="M114" s="9">
        <v>2.929</v>
      </c>
      <c r="N114" t="s">
        <v>14</v>
      </c>
      <c r="O114" s="9">
        <v>1.03</v>
      </c>
      <c r="T114" s="7">
        <v>29.99</v>
      </c>
      <c r="X114" s="10" t="s">
        <v>428</v>
      </c>
      <c r="Y114" s="11" t="s">
        <v>463</v>
      </c>
      <c r="Z114" t="s">
        <v>430</v>
      </c>
    </row>
    <row r="115" spans="1:26">
      <c r="A115">
        <v>620</v>
      </c>
      <c r="B115" t="s">
        <v>423</v>
      </c>
      <c r="C115" t="s">
        <v>424</v>
      </c>
      <c r="D115" t="s">
        <v>425</v>
      </c>
      <c r="E115" t="s">
        <v>48</v>
      </c>
      <c r="F115" t="s">
        <v>426</v>
      </c>
      <c r="G115" t="s">
        <v>128</v>
      </c>
      <c r="H115" t="s">
        <v>10</v>
      </c>
      <c r="I115">
        <v>0</v>
      </c>
      <c r="J115" t="s">
        <v>464</v>
      </c>
      <c r="K115" s="9">
        <v>14.059</v>
      </c>
      <c r="L115" s="9">
        <v>4.22</v>
      </c>
      <c r="M115" s="9">
        <v>3.151</v>
      </c>
      <c r="N115" t="s">
        <v>14</v>
      </c>
      <c r="O115" s="9">
        <v>1.1</v>
      </c>
      <c r="T115" s="7">
        <v>30.02</v>
      </c>
      <c r="X115" s="10" t="s">
        <v>428</v>
      </c>
      <c r="Y115" s="11" t="s">
        <v>465</v>
      </c>
      <c r="Z115" t="s">
        <v>430</v>
      </c>
    </row>
    <row r="116" spans="1:26">
      <c r="A116">
        <v>621</v>
      </c>
      <c r="B116" t="s">
        <v>423</v>
      </c>
      <c r="C116" t="s">
        <v>424</v>
      </c>
      <c r="D116" t="s">
        <v>425</v>
      </c>
      <c r="E116" t="s">
        <v>48</v>
      </c>
      <c r="F116" t="s">
        <v>426</v>
      </c>
      <c r="G116" t="s">
        <v>133</v>
      </c>
      <c r="H116" t="s">
        <v>10</v>
      </c>
      <c r="I116">
        <v>0</v>
      </c>
      <c r="J116" t="s">
        <v>466</v>
      </c>
      <c r="K116" s="9">
        <v>13.28</v>
      </c>
      <c r="L116" s="9">
        <v>3.75</v>
      </c>
      <c r="M116" s="9">
        <v>2.401</v>
      </c>
      <c r="N116" t="s">
        <v>14</v>
      </c>
      <c r="O116" s="9">
        <v>0.85</v>
      </c>
      <c r="T116" s="7">
        <v>28.24</v>
      </c>
      <c r="X116" s="10" t="s">
        <v>428</v>
      </c>
      <c r="Y116" s="11" t="s">
        <v>467</v>
      </c>
      <c r="Z116" t="s">
        <v>430</v>
      </c>
    </row>
    <row r="117" spans="1:26">
      <c r="A117">
        <v>622</v>
      </c>
      <c r="B117" t="s">
        <v>423</v>
      </c>
      <c r="C117" t="s">
        <v>424</v>
      </c>
      <c r="D117" t="s">
        <v>425</v>
      </c>
      <c r="E117" t="s">
        <v>48</v>
      </c>
      <c r="F117" t="s">
        <v>426</v>
      </c>
      <c r="G117" t="s">
        <v>137</v>
      </c>
      <c r="H117" t="s">
        <v>10</v>
      </c>
      <c r="I117">
        <v>0</v>
      </c>
      <c r="J117" t="s">
        <v>468</v>
      </c>
      <c r="K117" s="9">
        <v>14.287</v>
      </c>
      <c r="L117" s="9">
        <v>4.685</v>
      </c>
      <c r="M117" s="9">
        <v>3.143</v>
      </c>
      <c r="N117" t="s">
        <v>14</v>
      </c>
      <c r="T117" s="7">
        <v>32.79</v>
      </c>
      <c r="X117" s="10" t="s">
        <v>436</v>
      </c>
      <c r="Y117" s="11" t="s">
        <v>469</v>
      </c>
      <c r="Z117" t="s">
        <v>430</v>
      </c>
    </row>
    <row r="118" spans="1:26">
      <c r="A118">
        <v>623</v>
      </c>
      <c r="B118" t="s">
        <v>423</v>
      </c>
      <c r="C118" t="s">
        <v>424</v>
      </c>
      <c r="D118" t="s">
        <v>425</v>
      </c>
      <c r="E118" t="s">
        <v>48</v>
      </c>
      <c r="F118" t="s">
        <v>426</v>
      </c>
      <c r="G118" t="s">
        <v>141</v>
      </c>
      <c r="H118" t="s">
        <v>10</v>
      </c>
      <c r="I118">
        <v>0</v>
      </c>
      <c r="J118" t="s">
        <v>470</v>
      </c>
      <c r="K118" s="9">
        <v>14.926</v>
      </c>
      <c r="L118" s="9">
        <v>4.277</v>
      </c>
      <c r="M118" s="9">
        <v>2.927</v>
      </c>
      <c r="N118" t="s">
        <v>14</v>
      </c>
      <c r="O118" s="9">
        <v>1.01</v>
      </c>
      <c r="T118" s="7">
        <v>28.65</v>
      </c>
      <c r="X118" s="10" t="s">
        <v>428</v>
      </c>
      <c r="Y118" s="11" t="s">
        <v>471</v>
      </c>
      <c r="Z118" t="s">
        <v>430</v>
      </c>
    </row>
    <row r="119" spans="1:26">
      <c r="A119">
        <v>624</v>
      </c>
      <c r="B119" t="s">
        <v>423</v>
      </c>
      <c r="C119" t="s">
        <v>424</v>
      </c>
      <c r="D119" t="s">
        <v>425</v>
      </c>
      <c r="E119" t="s">
        <v>48</v>
      </c>
      <c r="F119" t="s">
        <v>426</v>
      </c>
      <c r="G119" t="s">
        <v>146</v>
      </c>
      <c r="H119" t="s">
        <v>10</v>
      </c>
      <c r="I119">
        <v>0</v>
      </c>
      <c r="J119" t="s">
        <v>464</v>
      </c>
      <c r="K119" s="9">
        <v>16.058</v>
      </c>
      <c r="L119" s="9">
        <v>4.731</v>
      </c>
      <c r="M119" s="9">
        <v>6.135</v>
      </c>
      <c r="N119" t="s">
        <v>14</v>
      </c>
      <c r="O119" s="9">
        <v>2.1</v>
      </c>
      <c r="T119" s="7">
        <v>29.46</v>
      </c>
      <c r="X119" s="10" t="s">
        <v>428</v>
      </c>
      <c r="Y119" s="11" t="s">
        <v>465</v>
      </c>
      <c r="Z119" t="s">
        <v>430</v>
      </c>
    </row>
    <row r="120" spans="1:26">
      <c r="A120">
        <v>625</v>
      </c>
      <c r="B120" t="s">
        <v>423</v>
      </c>
      <c r="C120" t="s">
        <v>424</v>
      </c>
      <c r="D120" t="s">
        <v>425</v>
      </c>
      <c r="E120" t="s">
        <v>48</v>
      </c>
      <c r="F120" t="s">
        <v>426</v>
      </c>
      <c r="G120" t="s">
        <v>472</v>
      </c>
      <c r="H120" t="s">
        <v>10</v>
      </c>
      <c r="I120">
        <v>0</v>
      </c>
      <c r="J120" t="s">
        <v>473</v>
      </c>
      <c r="K120" s="9">
        <v>14.13</v>
      </c>
      <c r="L120" s="9">
        <v>4.358</v>
      </c>
      <c r="M120" s="9">
        <v>2.936</v>
      </c>
      <c r="N120" t="s">
        <v>14</v>
      </c>
      <c r="O120" s="9">
        <v>1.02</v>
      </c>
      <c r="T120" s="7">
        <v>30.84</v>
      </c>
      <c r="X120" s="10" t="s">
        <v>428</v>
      </c>
      <c r="Y120" s="11" t="s">
        <v>474</v>
      </c>
      <c r="Z120" t="s">
        <v>430</v>
      </c>
    </row>
    <row r="121" spans="1:26">
      <c r="A121">
        <v>626</v>
      </c>
      <c r="B121" t="s">
        <v>423</v>
      </c>
      <c r="C121" t="s">
        <v>424</v>
      </c>
      <c r="D121" t="s">
        <v>425</v>
      </c>
      <c r="E121" t="s">
        <v>48</v>
      </c>
      <c r="F121" t="s">
        <v>426</v>
      </c>
      <c r="G121" t="s">
        <v>475</v>
      </c>
      <c r="H121" t="s">
        <v>10</v>
      </c>
      <c r="I121">
        <v>0</v>
      </c>
      <c r="J121" t="s">
        <v>468</v>
      </c>
      <c r="K121" s="9">
        <v>15.903</v>
      </c>
      <c r="L121" s="9">
        <v>5.109</v>
      </c>
      <c r="M121" s="9">
        <v>3.427</v>
      </c>
      <c r="N121" t="s">
        <v>14</v>
      </c>
      <c r="T121" s="7">
        <v>32.13</v>
      </c>
      <c r="X121" s="10" t="s">
        <v>436</v>
      </c>
      <c r="Y121" s="11" t="s">
        <v>469</v>
      </c>
      <c r="Z121" t="s">
        <v>430</v>
      </c>
    </row>
    <row r="122" spans="1:26">
      <c r="A122">
        <v>627</v>
      </c>
      <c r="B122" t="s">
        <v>423</v>
      </c>
      <c r="C122" t="s">
        <v>424</v>
      </c>
      <c r="D122" t="s">
        <v>425</v>
      </c>
      <c r="E122" t="s">
        <v>48</v>
      </c>
      <c r="F122" t="s">
        <v>426</v>
      </c>
      <c r="G122" t="s">
        <v>150</v>
      </c>
      <c r="H122" t="s">
        <v>10</v>
      </c>
      <c r="I122">
        <v>0</v>
      </c>
      <c r="J122" t="s">
        <v>470</v>
      </c>
      <c r="K122" s="9">
        <v>19.345</v>
      </c>
      <c r="L122" s="9">
        <v>6.728</v>
      </c>
      <c r="M122" s="9">
        <v>4.76</v>
      </c>
      <c r="N122" t="s">
        <v>14</v>
      </c>
      <c r="O122" s="9">
        <v>1.56</v>
      </c>
      <c r="T122" s="7">
        <v>34.78</v>
      </c>
      <c r="X122" s="10" t="s">
        <v>428</v>
      </c>
      <c r="Y122" s="11" t="s">
        <v>471</v>
      </c>
      <c r="Z122" t="s">
        <v>430</v>
      </c>
    </row>
    <row r="123" spans="1:26">
      <c r="A123">
        <v>412</v>
      </c>
      <c r="B123" t="s">
        <v>476</v>
      </c>
      <c r="C123" t="s">
        <v>476</v>
      </c>
      <c r="D123" t="s">
        <v>476</v>
      </c>
      <c r="E123" t="s">
        <v>477</v>
      </c>
      <c r="F123" t="s">
        <v>476</v>
      </c>
      <c r="G123" t="s">
        <v>50</v>
      </c>
      <c r="H123" t="s">
        <v>10</v>
      </c>
      <c r="I123">
        <v>0</v>
      </c>
      <c r="J123" t="s">
        <v>273</v>
      </c>
      <c r="K123" s="9">
        <v>1.786</v>
      </c>
      <c r="L123" s="9">
        <v>0.177</v>
      </c>
      <c r="M123" s="9">
        <v>0.162</v>
      </c>
      <c r="N123" t="s">
        <v>14</v>
      </c>
      <c r="O123" s="9">
        <v>0.14</v>
      </c>
      <c r="S123" s="7">
        <v>45.8</v>
      </c>
      <c r="T123" s="7">
        <v>9.91</v>
      </c>
      <c r="X123" s="10" t="s">
        <v>428</v>
      </c>
      <c r="Y123" s="11" t="s">
        <v>478</v>
      </c>
      <c r="Z123" t="s">
        <v>430</v>
      </c>
    </row>
    <row r="124" spans="1:26">
      <c r="A124">
        <v>413</v>
      </c>
      <c r="B124" t="s">
        <v>476</v>
      </c>
      <c r="C124" t="s">
        <v>476</v>
      </c>
      <c r="D124" t="s">
        <v>476</v>
      </c>
      <c r="E124" t="s">
        <v>477</v>
      </c>
      <c r="F124" t="s">
        <v>476</v>
      </c>
      <c r="G124" t="s">
        <v>57</v>
      </c>
      <c r="H124" t="s">
        <v>10</v>
      </c>
      <c r="I124">
        <v>0</v>
      </c>
      <c r="J124" t="s">
        <v>276</v>
      </c>
      <c r="K124" s="9">
        <v>1.932</v>
      </c>
      <c r="L124" s="9">
        <v>0.173</v>
      </c>
      <c r="M124" s="9">
        <v>0.157</v>
      </c>
      <c r="N124" t="s">
        <v>14</v>
      </c>
      <c r="O124" s="9">
        <v>0.13</v>
      </c>
      <c r="S124" s="7">
        <v>43.89</v>
      </c>
      <c r="T124" s="7">
        <v>8.949999999999999</v>
      </c>
      <c r="X124" s="10" t="s">
        <v>428</v>
      </c>
      <c r="Y124" s="11" t="s">
        <v>479</v>
      </c>
      <c r="Z124" t="s">
        <v>430</v>
      </c>
    </row>
    <row r="125" spans="1:26">
      <c r="A125">
        <v>414</v>
      </c>
      <c r="B125" t="s">
        <v>476</v>
      </c>
      <c r="C125" t="s">
        <v>476</v>
      </c>
      <c r="D125" t="s">
        <v>476</v>
      </c>
      <c r="E125" t="s">
        <v>477</v>
      </c>
      <c r="F125" t="s">
        <v>476</v>
      </c>
      <c r="G125" t="s">
        <v>62</v>
      </c>
      <c r="H125" t="s">
        <v>10</v>
      </c>
      <c r="I125">
        <v>0</v>
      </c>
      <c r="J125" t="s">
        <v>480</v>
      </c>
      <c r="K125" s="9">
        <v>2.801</v>
      </c>
      <c r="L125" s="9">
        <v>0.449</v>
      </c>
      <c r="M125" s="9">
        <v>0.39</v>
      </c>
      <c r="N125" t="s">
        <v>14</v>
      </c>
      <c r="O125" s="9">
        <v>0.32</v>
      </c>
      <c r="S125" s="7">
        <v>43.91</v>
      </c>
      <c r="T125" s="7">
        <v>16.03</v>
      </c>
      <c r="X125" s="10" t="s">
        <v>428</v>
      </c>
      <c r="Y125" s="11" t="s">
        <v>481</v>
      </c>
      <c r="Z125" t="s">
        <v>430</v>
      </c>
    </row>
    <row r="126" spans="1:26">
      <c r="A126">
        <v>415</v>
      </c>
      <c r="B126" t="s">
        <v>476</v>
      </c>
      <c r="C126" t="s">
        <v>476</v>
      </c>
      <c r="D126" t="s">
        <v>476</v>
      </c>
      <c r="E126" t="s">
        <v>477</v>
      </c>
      <c r="F126" t="s">
        <v>476</v>
      </c>
      <c r="G126" t="s">
        <v>66</v>
      </c>
      <c r="H126" t="s">
        <v>10</v>
      </c>
      <c r="I126">
        <v>0</v>
      </c>
      <c r="J126" t="s">
        <v>482</v>
      </c>
      <c r="K126" s="9">
        <v>3.244</v>
      </c>
      <c r="L126" s="9">
        <v>0.57</v>
      </c>
      <c r="M126" s="9">
        <v>1.781</v>
      </c>
      <c r="N126" t="s">
        <v>14</v>
      </c>
      <c r="S126" s="7">
        <v>44.73</v>
      </c>
      <c r="T126" s="7">
        <v>17.57</v>
      </c>
      <c r="X126" s="10" t="s">
        <v>483</v>
      </c>
      <c r="Y126" s="11" t="s">
        <v>484</v>
      </c>
      <c r="Z126" t="s">
        <v>430</v>
      </c>
    </row>
    <row r="127" spans="1:26">
      <c r="A127">
        <v>416</v>
      </c>
      <c r="B127" t="s">
        <v>476</v>
      </c>
      <c r="C127" t="s">
        <v>476</v>
      </c>
      <c r="D127" t="s">
        <v>476</v>
      </c>
      <c r="E127" t="s">
        <v>477</v>
      </c>
      <c r="F127" t="s">
        <v>476</v>
      </c>
      <c r="G127" t="s">
        <v>71</v>
      </c>
      <c r="H127" t="s">
        <v>10</v>
      </c>
      <c r="I127">
        <v>0</v>
      </c>
      <c r="J127" t="s">
        <v>485</v>
      </c>
      <c r="K127" s="9">
        <v>3.445</v>
      </c>
      <c r="L127" s="9">
        <v>0.662</v>
      </c>
      <c r="M127" s="9">
        <v>0.555</v>
      </c>
      <c r="N127" t="s">
        <v>14</v>
      </c>
      <c r="O127" s="9">
        <v>0.45</v>
      </c>
      <c r="S127" s="7">
        <v>46.07</v>
      </c>
      <c r="T127" s="7">
        <v>19.22</v>
      </c>
      <c r="X127" s="10" t="s">
        <v>428</v>
      </c>
      <c r="Y127" s="11" t="s">
        <v>486</v>
      </c>
      <c r="Z127" t="s">
        <v>430</v>
      </c>
    </row>
    <row r="128" spans="1:26">
      <c r="A128">
        <v>417</v>
      </c>
      <c r="B128" t="s">
        <v>476</v>
      </c>
      <c r="C128" t="s">
        <v>476</v>
      </c>
      <c r="D128" t="s">
        <v>476</v>
      </c>
      <c r="E128" t="s">
        <v>477</v>
      </c>
      <c r="F128" t="s">
        <v>476</v>
      </c>
      <c r="G128" t="s">
        <v>75</v>
      </c>
      <c r="H128" t="s">
        <v>10</v>
      </c>
      <c r="I128">
        <v>0</v>
      </c>
      <c r="J128" t="s">
        <v>487</v>
      </c>
      <c r="K128" s="9">
        <v>3.85</v>
      </c>
      <c r="L128" s="9">
        <v>0.831</v>
      </c>
      <c r="M128" s="9">
        <v>0.71</v>
      </c>
      <c r="N128" t="s">
        <v>14</v>
      </c>
      <c r="O128" s="9">
        <v>0.58</v>
      </c>
      <c r="S128" s="7">
        <v>47.53</v>
      </c>
      <c r="T128" s="7">
        <v>21.58</v>
      </c>
      <c r="X128" s="10" t="s">
        <v>428</v>
      </c>
      <c r="Y128" s="11" t="s">
        <v>488</v>
      </c>
      <c r="Z128" t="s">
        <v>430</v>
      </c>
    </row>
    <row r="129" spans="1:26">
      <c r="A129">
        <v>418</v>
      </c>
      <c r="B129" t="s">
        <v>476</v>
      </c>
      <c r="C129" t="s">
        <v>476</v>
      </c>
      <c r="D129" t="s">
        <v>476</v>
      </c>
      <c r="E129" t="s">
        <v>477</v>
      </c>
      <c r="F129" t="s">
        <v>476</v>
      </c>
      <c r="G129" t="s">
        <v>80</v>
      </c>
      <c r="H129" t="s">
        <v>10</v>
      </c>
      <c r="I129">
        <v>0</v>
      </c>
      <c r="J129" t="s">
        <v>489</v>
      </c>
      <c r="K129" s="9">
        <v>4.313</v>
      </c>
      <c r="L129" s="9">
        <v>0.948</v>
      </c>
      <c r="M129" s="9">
        <v>0.923</v>
      </c>
      <c r="N129" t="s">
        <v>14</v>
      </c>
      <c r="O129" s="9">
        <v>0.75</v>
      </c>
      <c r="S129" s="7">
        <v>48.37</v>
      </c>
      <c r="T129" s="7">
        <v>21.98</v>
      </c>
      <c r="X129" s="10" t="s">
        <v>428</v>
      </c>
      <c r="Y129" s="11" t="s">
        <v>490</v>
      </c>
      <c r="Z129" t="s">
        <v>430</v>
      </c>
    </row>
    <row r="130" spans="1:26">
      <c r="A130">
        <v>419</v>
      </c>
      <c r="B130" t="s">
        <v>476</v>
      </c>
      <c r="C130" t="s">
        <v>476</v>
      </c>
      <c r="D130" t="s">
        <v>476</v>
      </c>
      <c r="E130" t="s">
        <v>477</v>
      </c>
      <c r="F130" t="s">
        <v>476</v>
      </c>
      <c r="G130" t="s">
        <v>85</v>
      </c>
      <c r="H130" t="s">
        <v>10</v>
      </c>
      <c r="I130">
        <v>0</v>
      </c>
      <c r="J130" t="s">
        <v>491</v>
      </c>
      <c r="K130" s="9">
        <v>4.826</v>
      </c>
      <c r="L130" s="9">
        <v>1.207</v>
      </c>
      <c r="M130" s="9">
        <v>0.974</v>
      </c>
      <c r="N130" t="s">
        <v>14</v>
      </c>
      <c r="S130" s="7">
        <v>50.27</v>
      </c>
      <c r="T130" s="7">
        <v>25.01</v>
      </c>
      <c r="X130" s="10" t="s">
        <v>483</v>
      </c>
      <c r="Y130" s="11" t="s">
        <v>492</v>
      </c>
      <c r="Z130" t="s">
        <v>430</v>
      </c>
    </row>
    <row r="131" spans="1:26">
      <c r="A131">
        <v>420</v>
      </c>
      <c r="B131" t="s">
        <v>476</v>
      </c>
      <c r="C131" t="s">
        <v>476</v>
      </c>
      <c r="D131" t="s">
        <v>476</v>
      </c>
      <c r="E131" t="s">
        <v>477</v>
      </c>
      <c r="F131" t="s">
        <v>476</v>
      </c>
      <c r="G131" t="s">
        <v>89</v>
      </c>
      <c r="H131" t="s">
        <v>10</v>
      </c>
      <c r="I131">
        <v>0</v>
      </c>
      <c r="J131" t="s">
        <v>493</v>
      </c>
      <c r="K131" s="9">
        <v>5.887</v>
      </c>
      <c r="L131" s="9">
        <v>0.951</v>
      </c>
      <c r="M131" s="9">
        <v>0.786</v>
      </c>
      <c r="N131" t="s">
        <v>14</v>
      </c>
      <c r="O131" s="9">
        <v>0.5600000000000001</v>
      </c>
      <c r="S131" s="7">
        <v>47.87</v>
      </c>
      <c r="T131" s="7">
        <v>16.15</v>
      </c>
      <c r="X131" s="10" t="s">
        <v>428</v>
      </c>
      <c r="Y131" s="11" t="s">
        <v>494</v>
      </c>
      <c r="Z131" t="s">
        <v>430</v>
      </c>
    </row>
    <row r="132" spans="1:26">
      <c r="A132">
        <v>421</v>
      </c>
      <c r="B132" t="s">
        <v>476</v>
      </c>
      <c r="C132" t="s">
        <v>476</v>
      </c>
      <c r="D132" t="s">
        <v>476</v>
      </c>
      <c r="E132" t="s">
        <v>477</v>
      </c>
      <c r="F132" t="s">
        <v>476</v>
      </c>
      <c r="G132" t="s">
        <v>93</v>
      </c>
      <c r="H132" t="s">
        <v>10</v>
      </c>
      <c r="I132">
        <v>0</v>
      </c>
      <c r="J132" t="s">
        <v>495</v>
      </c>
      <c r="K132" s="9">
        <v>6.55</v>
      </c>
      <c r="L132" s="9">
        <v>0.526</v>
      </c>
      <c r="M132" s="9">
        <v>0.447</v>
      </c>
      <c r="N132" t="s">
        <v>14</v>
      </c>
      <c r="O132" s="9">
        <v>0.27</v>
      </c>
      <c r="S132" s="7">
        <v>46.23</v>
      </c>
      <c r="T132" s="7">
        <v>8.029999999999999</v>
      </c>
      <c r="X132" s="10" t="s">
        <v>428</v>
      </c>
      <c r="Y132" s="11" t="s">
        <v>496</v>
      </c>
      <c r="Z132" t="s">
        <v>430</v>
      </c>
    </row>
    <row r="133" spans="1:26">
      <c r="A133">
        <v>422</v>
      </c>
      <c r="B133" t="s">
        <v>476</v>
      </c>
      <c r="C133" t="s">
        <v>476</v>
      </c>
      <c r="D133" t="s">
        <v>476</v>
      </c>
      <c r="E133" t="s">
        <v>477</v>
      </c>
      <c r="F133" t="s">
        <v>476</v>
      </c>
      <c r="G133" t="s">
        <v>98</v>
      </c>
      <c r="H133" t="s">
        <v>10</v>
      </c>
      <c r="I133">
        <v>0</v>
      </c>
      <c r="J133" t="s">
        <v>497</v>
      </c>
      <c r="K133" s="9">
        <v>5.565</v>
      </c>
      <c r="L133" s="9">
        <v>-0.064</v>
      </c>
      <c r="M133" s="9">
        <v>0.066</v>
      </c>
      <c r="N133" t="s">
        <v>14</v>
      </c>
      <c r="O133" s="9">
        <v>0.04</v>
      </c>
      <c r="S133" s="7">
        <v>42.3</v>
      </c>
      <c r="T133" s="7">
        <v>-1.15</v>
      </c>
      <c r="X133" s="10" t="s">
        <v>428</v>
      </c>
      <c r="Y133" s="11" t="s">
        <v>498</v>
      </c>
      <c r="Z133" t="s">
        <v>430</v>
      </c>
    </row>
    <row r="134" spans="1:26">
      <c r="A134">
        <v>423</v>
      </c>
      <c r="B134" t="s">
        <v>476</v>
      </c>
      <c r="C134" t="s">
        <v>476</v>
      </c>
      <c r="D134" t="s">
        <v>476</v>
      </c>
      <c r="E134" t="s">
        <v>477</v>
      </c>
      <c r="F134" t="s">
        <v>476</v>
      </c>
      <c r="G134" t="s">
        <v>103</v>
      </c>
      <c r="H134" t="s">
        <v>10</v>
      </c>
      <c r="I134">
        <v>0</v>
      </c>
      <c r="J134" t="s">
        <v>499</v>
      </c>
      <c r="K134" s="9">
        <v>5.599</v>
      </c>
      <c r="L134" s="9">
        <v>-0.149</v>
      </c>
      <c r="M134" s="9">
        <v>0.021</v>
      </c>
      <c r="N134" t="s">
        <v>14</v>
      </c>
      <c r="S134" s="7">
        <v>42.92</v>
      </c>
      <c r="T134" s="7">
        <v>-2.66</v>
      </c>
      <c r="X134" s="10" t="s">
        <v>483</v>
      </c>
      <c r="Y134" s="11" t="s">
        <v>500</v>
      </c>
      <c r="Z134" t="s">
        <v>430</v>
      </c>
    </row>
    <row r="135" spans="1:26">
      <c r="A135">
        <v>424</v>
      </c>
      <c r="B135" t="s">
        <v>476</v>
      </c>
      <c r="C135" t="s">
        <v>476</v>
      </c>
      <c r="D135" t="s">
        <v>476</v>
      </c>
      <c r="E135" t="s">
        <v>477</v>
      </c>
      <c r="F135" t="s">
        <v>476</v>
      </c>
      <c r="G135" t="s">
        <v>107</v>
      </c>
      <c r="H135" t="s">
        <v>10</v>
      </c>
      <c r="I135">
        <v>0</v>
      </c>
      <c r="J135" t="s">
        <v>501</v>
      </c>
      <c r="K135" s="9">
        <v>5.353</v>
      </c>
      <c r="L135" s="9">
        <v>-0.145</v>
      </c>
      <c r="M135" s="9">
        <v>-0.139</v>
      </c>
      <c r="N135" t="s">
        <v>14</v>
      </c>
      <c r="O135" s="9">
        <v>-0.09</v>
      </c>
      <c r="S135" s="7">
        <v>44.07</v>
      </c>
      <c r="T135" s="7">
        <v>-2.71</v>
      </c>
      <c r="X135" s="10" t="s">
        <v>428</v>
      </c>
      <c r="Y135" s="11" t="s">
        <v>502</v>
      </c>
      <c r="Z135" t="s">
        <v>430</v>
      </c>
    </row>
    <row r="136" spans="1:26">
      <c r="A136">
        <v>425</v>
      </c>
      <c r="B136" t="s">
        <v>476</v>
      </c>
      <c r="C136" t="s">
        <v>476</v>
      </c>
      <c r="D136" t="s">
        <v>476</v>
      </c>
      <c r="E136" t="s">
        <v>477</v>
      </c>
      <c r="F136" t="s">
        <v>476</v>
      </c>
      <c r="G136" t="s">
        <v>112</v>
      </c>
      <c r="H136" t="s">
        <v>10</v>
      </c>
      <c r="I136">
        <v>0</v>
      </c>
      <c r="J136" t="s">
        <v>316</v>
      </c>
      <c r="K136" s="9">
        <v>5.359</v>
      </c>
      <c r="L136" s="9">
        <v>-0.02</v>
      </c>
      <c r="M136" s="9">
        <v>0.027</v>
      </c>
      <c r="N136" t="s">
        <v>14</v>
      </c>
      <c r="O136" s="9">
        <v>0.02</v>
      </c>
      <c r="S136" s="7">
        <v>45.59</v>
      </c>
      <c r="T136" s="7">
        <v>-0.37</v>
      </c>
      <c r="X136" s="10" t="s">
        <v>428</v>
      </c>
      <c r="Y136" s="11" t="s">
        <v>503</v>
      </c>
      <c r="Z136" t="s">
        <v>430</v>
      </c>
    </row>
    <row r="137" spans="1:26">
      <c r="A137">
        <v>426</v>
      </c>
      <c r="B137" t="s">
        <v>476</v>
      </c>
      <c r="C137" t="s">
        <v>476</v>
      </c>
      <c r="D137" t="s">
        <v>476</v>
      </c>
      <c r="E137" t="s">
        <v>477</v>
      </c>
      <c r="F137" t="s">
        <v>476</v>
      </c>
      <c r="G137" t="s">
        <v>116</v>
      </c>
      <c r="H137" t="s">
        <v>10</v>
      </c>
      <c r="I137">
        <v>0</v>
      </c>
      <c r="J137" t="s">
        <v>319</v>
      </c>
      <c r="K137" s="9">
        <v>5.8</v>
      </c>
      <c r="L137" s="9">
        <v>0.224</v>
      </c>
      <c r="M137" s="9">
        <v>0.299</v>
      </c>
      <c r="N137" t="s">
        <v>14</v>
      </c>
      <c r="O137" s="9">
        <v>0.18</v>
      </c>
      <c r="S137" s="7">
        <v>47.36</v>
      </c>
      <c r="T137" s="7">
        <v>3.86</v>
      </c>
      <c r="X137" s="10" t="s">
        <v>428</v>
      </c>
      <c r="Y137" s="11" t="s">
        <v>504</v>
      </c>
      <c r="Z137" t="s">
        <v>430</v>
      </c>
    </row>
    <row r="138" spans="1:26">
      <c r="A138">
        <v>427</v>
      </c>
      <c r="B138" t="s">
        <v>476</v>
      </c>
      <c r="C138" t="s">
        <v>476</v>
      </c>
      <c r="D138" t="s">
        <v>476</v>
      </c>
      <c r="E138" t="s">
        <v>477</v>
      </c>
      <c r="F138" t="s">
        <v>476</v>
      </c>
      <c r="G138" t="s">
        <v>120</v>
      </c>
      <c r="H138" t="s">
        <v>10</v>
      </c>
      <c r="I138">
        <v>0</v>
      </c>
      <c r="J138" t="s">
        <v>505</v>
      </c>
      <c r="K138" s="9">
        <v>6.168</v>
      </c>
      <c r="L138" s="9">
        <v>0.342</v>
      </c>
      <c r="M138" s="9">
        <v>0.667</v>
      </c>
      <c r="N138" t="s">
        <v>14</v>
      </c>
      <c r="S138" s="7">
        <v>47.2</v>
      </c>
      <c r="T138" s="7">
        <v>5.54</v>
      </c>
      <c r="X138" s="10" t="s">
        <v>483</v>
      </c>
      <c r="Y138" s="11" t="s">
        <v>506</v>
      </c>
      <c r="Z138" t="s">
        <v>430</v>
      </c>
    </row>
    <row r="139" spans="1:26">
      <c r="A139">
        <v>428</v>
      </c>
      <c r="B139" t="s">
        <v>476</v>
      </c>
      <c r="C139" t="s">
        <v>476</v>
      </c>
      <c r="D139" t="s">
        <v>476</v>
      </c>
      <c r="E139" t="s">
        <v>477</v>
      </c>
      <c r="F139" t="s">
        <v>476</v>
      </c>
      <c r="G139" t="s">
        <v>124</v>
      </c>
      <c r="H139" t="s">
        <v>10</v>
      </c>
      <c r="I139">
        <v>0</v>
      </c>
      <c r="J139" t="s">
        <v>507</v>
      </c>
      <c r="K139" s="9">
        <v>5.473</v>
      </c>
      <c r="L139" s="9">
        <v>0.036</v>
      </c>
      <c r="M139" s="9">
        <v>0.123</v>
      </c>
      <c r="N139" t="s">
        <v>14</v>
      </c>
      <c r="O139" s="9">
        <v>0.07000000000000001</v>
      </c>
      <c r="S139" s="7">
        <v>46.78</v>
      </c>
      <c r="T139" s="7">
        <v>0.66</v>
      </c>
      <c r="X139" s="10" t="s">
        <v>428</v>
      </c>
      <c r="Y139" s="11" t="s">
        <v>508</v>
      </c>
      <c r="Z139" t="s">
        <v>430</v>
      </c>
    </row>
    <row r="140" spans="1:26">
      <c r="A140">
        <v>429</v>
      </c>
      <c r="B140" t="s">
        <v>476</v>
      </c>
      <c r="C140" t="s">
        <v>476</v>
      </c>
      <c r="D140" t="s">
        <v>476</v>
      </c>
      <c r="E140" t="s">
        <v>477</v>
      </c>
      <c r="F140" t="s">
        <v>476</v>
      </c>
      <c r="G140" t="s">
        <v>128</v>
      </c>
      <c r="H140" t="s">
        <v>10</v>
      </c>
      <c r="I140">
        <v>0</v>
      </c>
      <c r="J140" t="s">
        <v>509</v>
      </c>
      <c r="K140" s="9">
        <v>5.835</v>
      </c>
      <c r="L140" s="9">
        <v>0.269</v>
      </c>
      <c r="M140" s="9">
        <v>0.265</v>
      </c>
      <c r="N140" t="s">
        <v>14</v>
      </c>
      <c r="O140" s="9">
        <v>0.16</v>
      </c>
      <c r="S140" s="7">
        <v>49.08</v>
      </c>
      <c r="T140" s="7">
        <v>4.61</v>
      </c>
      <c r="X140" s="10" t="s">
        <v>428</v>
      </c>
      <c r="Y140" s="11" t="s">
        <v>510</v>
      </c>
      <c r="Z140" t="s">
        <v>430</v>
      </c>
    </row>
    <row r="141" spans="1:26">
      <c r="A141">
        <v>430</v>
      </c>
      <c r="B141" t="s">
        <v>476</v>
      </c>
      <c r="C141" t="s">
        <v>476</v>
      </c>
      <c r="D141" t="s">
        <v>476</v>
      </c>
      <c r="E141" t="s">
        <v>477</v>
      </c>
      <c r="F141" t="s">
        <v>476</v>
      </c>
      <c r="G141" t="s">
        <v>133</v>
      </c>
      <c r="H141" t="s">
        <v>10</v>
      </c>
      <c r="I141">
        <v>0</v>
      </c>
      <c r="J141" t="s">
        <v>511</v>
      </c>
      <c r="K141" s="9">
        <v>6.819</v>
      </c>
      <c r="L141" s="9">
        <v>0.724</v>
      </c>
      <c r="M141" s="9">
        <v>0.771</v>
      </c>
      <c r="N141" t="s">
        <v>14</v>
      </c>
      <c r="O141" s="9">
        <v>0.47</v>
      </c>
      <c r="S141" s="7">
        <v>50.14</v>
      </c>
      <c r="T141" s="7">
        <v>10.62</v>
      </c>
      <c r="X141" s="10" t="s">
        <v>428</v>
      </c>
      <c r="Y141" s="11" t="s">
        <v>512</v>
      </c>
      <c r="Z141" t="s">
        <v>430</v>
      </c>
    </row>
    <row r="142" spans="1:26">
      <c r="A142">
        <v>431</v>
      </c>
      <c r="B142" t="s">
        <v>476</v>
      </c>
      <c r="C142" t="s">
        <v>476</v>
      </c>
      <c r="D142" t="s">
        <v>476</v>
      </c>
      <c r="E142" t="s">
        <v>477</v>
      </c>
      <c r="F142" t="s">
        <v>476</v>
      </c>
      <c r="G142" t="s">
        <v>137</v>
      </c>
      <c r="H142" t="s">
        <v>10</v>
      </c>
      <c r="I142">
        <v>0</v>
      </c>
      <c r="J142" t="s">
        <v>505</v>
      </c>
      <c r="K142" s="9">
        <v>7.658</v>
      </c>
      <c r="L142" s="9">
        <v>0.871</v>
      </c>
      <c r="M142" s="9">
        <v>0.482</v>
      </c>
      <c r="N142" t="s">
        <v>14</v>
      </c>
      <c r="S142" s="7">
        <v>50.69</v>
      </c>
      <c r="T142" s="7">
        <v>11.37</v>
      </c>
      <c r="X142" s="10" t="s">
        <v>483</v>
      </c>
      <c r="Y142" s="11" t="s">
        <v>506</v>
      </c>
      <c r="Z142" t="s">
        <v>430</v>
      </c>
    </row>
    <row r="143" spans="1:26">
      <c r="A143">
        <v>432</v>
      </c>
      <c r="B143" t="s">
        <v>476</v>
      </c>
      <c r="C143" t="s">
        <v>476</v>
      </c>
      <c r="D143" t="s">
        <v>476</v>
      </c>
      <c r="E143" t="s">
        <v>477</v>
      </c>
      <c r="F143" t="s">
        <v>476</v>
      </c>
      <c r="G143" t="s">
        <v>141</v>
      </c>
      <c r="H143" t="s">
        <v>10</v>
      </c>
      <c r="I143">
        <v>0</v>
      </c>
      <c r="J143" t="s">
        <v>513</v>
      </c>
      <c r="K143" s="9">
        <v>7.438</v>
      </c>
      <c r="L143" s="9">
        <v>0.806</v>
      </c>
      <c r="M143" s="9">
        <v>0.709</v>
      </c>
      <c r="N143" t="s">
        <v>14</v>
      </c>
      <c r="O143" s="9">
        <v>0.44</v>
      </c>
      <c r="S143" s="7">
        <v>50.23</v>
      </c>
      <c r="T143" s="7">
        <v>10.84</v>
      </c>
      <c r="X143" s="10" t="s">
        <v>428</v>
      </c>
      <c r="Y143" s="11" t="s">
        <v>514</v>
      </c>
      <c r="Z143" t="s">
        <v>430</v>
      </c>
    </row>
    <row r="144" spans="1:26">
      <c r="A144">
        <v>433</v>
      </c>
      <c r="B144" t="s">
        <v>476</v>
      </c>
      <c r="C144" t="s">
        <v>476</v>
      </c>
      <c r="D144" t="s">
        <v>476</v>
      </c>
      <c r="E144" t="s">
        <v>477</v>
      </c>
      <c r="F144" t="s">
        <v>476</v>
      </c>
      <c r="G144" t="s">
        <v>146</v>
      </c>
      <c r="H144" t="s">
        <v>10</v>
      </c>
      <c r="I144">
        <v>0</v>
      </c>
      <c r="J144" t="s">
        <v>515</v>
      </c>
      <c r="K144" s="9">
        <v>7.685</v>
      </c>
      <c r="L144" s="9">
        <v>-0.134</v>
      </c>
      <c r="M144" s="9">
        <v>0.872</v>
      </c>
      <c r="N144" t="s">
        <v>14</v>
      </c>
      <c r="O144" s="9">
        <v>0.54</v>
      </c>
      <c r="S144" s="7">
        <v>39.8</v>
      </c>
      <c r="T144" s="7">
        <v>-1.74</v>
      </c>
      <c r="X144" s="10" t="s">
        <v>428</v>
      </c>
      <c r="Y144" s="11" t="s">
        <v>516</v>
      </c>
      <c r="Z144" t="s">
        <v>430</v>
      </c>
    </row>
    <row r="145" spans="1:26">
      <c r="A145">
        <v>434</v>
      </c>
      <c r="B145" t="s">
        <v>476</v>
      </c>
      <c r="C145" t="s">
        <v>476</v>
      </c>
      <c r="D145" t="s">
        <v>476</v>
      </c>
      <c r="E145" t="s">
        <v>477</v>
      </c>
      <c r="F145" t="s">
        <v>476</v>
      </c>
      <c r="G145" t="s">
        <v>472</v>
      </c>
      <c r="H145" t="s">
        <v>10</v>
      </c>
      <c r="I145">
        <v>0</v>
      </c>
      <c r="J145" t="s">
        <v>511</v>
      </c>
      <c r="K145" s="9">
        <v>9.246</v>
      </c>
      <c r="L145" s="9">
        <v>1.27</v>
      </c>
      <c r="M145" s="9">
        <v>1.243</v>
      </c>
      <c r="N145" t="s">
        <v>14</v>
      </c>
      <c r="O145" s="9">
        <v>0.75</v>
      </c>
      <c r="S145" s="7">
        <v>51.7</v>
      </c>
      <c r="T145" s="7">
        <v>13.74</v>
      </c>
      <c r="X145" s="10" t="s">
        <v>428</v>
      </c>
      <c r="Y145" s="11" t="s">
        <v>512</v>
      </c>
      <c r="Z145" t="s">
        <v>430</v>
      </c>
    </row>
    <row r="146" spans="1:26">
      <c r="A146">
        <v>435</v>
      </c>
      <c r="B146" t="s">
        <v>476</v>
      </c>
      <c r="C146" t="s">
        <v>476</v>
      </c>
      <c r="D146" t="s">
        <v>476</v>
      </c>
      <c r="E146" t="s">
        <v>477</v>
      </c>
      <c r="F146" t="s">
        <v>476</v>
      </c>
      <c r="G146" t="s">
        <v>475</v>
      </c>
      <c r="H146" t="s">
        <v>10</v>
      </c>
      <c r="I146">
        <v>0</v>
      </c>
      <c r="J146" t="s">
        <v>505</v>
      </c>
      <c r="K146" s="9">
        <v>10.27</v>
      </c>
      <c r="L146" s="9">
        <v>1.752</v>
      </c>
      <c r="M146" s="9">
        <v>1.511</v>
      </c>
      <c r="N146" t="s">
        <v>14</v>
      </c>
      <c r="S146" s="7">
        <v>54.3</v>
      </c>
      <c r="T146" s="7">
        <v>17.06</v>
      </c>
      <c r="X146" s="10" t="s">
        <v>483</v>
      </c>
      <c r="Y146" s="11" t="s">
        <v>506</v>
      </c>
      <c r="Z146" t="s">
        <v>430</v>
      </c>
    </row>
    <row r="147" spans="1:26">
      <c r="A147">
        <v>436</v>
      </c>
      <c r="B147" t="s">
        <v>476</v>
      </c>
      <c r="C147" t="s">
        <v>476</v>
      </c>
      <c r="D147" t="s">
        <v>476</v>
      </c>
      <c r="E147" t="s">
        <v>477</v>
      </c>
      <c r="F147" t="s">
        <v>476</v>
      </c>
      <c r="G147" t="s">
        <v>150</v>
      </c>
      <c r="H147" t="s">
        <v>10</v>
      </c>
      <c r="I147">
        <v>0</v>
      </c>
      <c r="J147" t="s">
        <v>513</v>
      </c>
      <c r="K147" s="9">
        <v>10.253</v>
      </c>
      <c r="L147" s="9">
        <v>1.476</v>
      </c>
      <c r="M147" s="9">
        <v>1.383</v>
      </c>
      <c r="N147" t="s">
        <v>14</v>
      </c>
      <c r="O147" s="9">
        <v>0.84</v>
      </c>
      <c r="S147" s="7">
        <v>52.82</v>
      </c>
      <c r="T147" s="7">
        <v>14.4</v>
      </c>
      <c r="X147" s="10" t="s">
        <v>428</v>
      </c>
      <c r="Y147" s="11" t="s">
        <v>514</v>
      </c>
      <c r="Z147" t="s">
        <v>430</v>
      </c>
    </row>
    <row r="148" spans="1:26">
      <c r="A148">
        <v>437</v>
      </c>
      <c r="B148" t="s">
        <v>476</v>
      </c>
      <c r="C148" t="s">
        <v>476</v>
      </c>
      <c r="D148" t="s">
        <v>476</v>
      </c>
      <c r="E148" t="s">
        <v>477</v>
      </c>
      <c r="F148" t="s">
        <v>476</v>
      </c>
      <c r="G148" t="s">
        <v>155</v>
      </c>
      <c r="H148" t="s">
        <v>10</v>
      </c>
      <c r="I148">
        <v>0</v>
      </c>
      <c r="J148" t="s">
        <v>515</v>
      </c>
      <c r="K148" s="9">
        <v>11.536</v>
      </c>
      <c r="L148" s="9">
        <v>1.99</v>
      </c>
      <c r="M148" s="9">
        <v>2.297</v>
      </c>
      <c r="N148" t="s">
        <v>14</v>
      </c>
      <c r="O148" s="9">
        <v>1.38</v>
      </c>
      <c r="S148" s="7">
        <v>53.77</v>
      </c>
      <c r="T148" s="7">
        <v>17.25</v>
      </c>
      <c r="X148" s="10" t="s">
        <v>428</v>
      </c>
      <c r="Y148" s="11" t="s">
        <v>516</v>
      </c>
      <c r="Z148" t="s">
        <v>430</v>
      </c>
    </row>
    <row r="149" spans="1:26">
      <c r="A149">
        <v>284</v>
      </c>
      <c r="B149" t="s">
        <v>517</v>
      </c>
      <c r="C149" t="s">
        <v>518</v>
      </c>
      <c r="D149" t="s">
        <v>519</v>
      </c>
      <c r="E149" t="s">
        <v>477</v>
      </c>
      <c r="F149" t="s">
        <v>517</v>
      </c>
      <c r="G149" t="s">
        <v>93</v>
      </c>
      <c r="H149" t="s">
        <v>10</v>
      </c>
      <c r="I149">
        <v>0</v>
      </c>
      <c r="J149" t="s">
        <v>520</v>
      </c>
      <c r="K149" s="9">
        <v>0.63</v>
      </c>
      <c r="L149" s="9">
        <v>0.183</v>
      </c>
      <c r="M149" s="9">
        <v>0.114</v>
      </c>
      <c r="N149" t="s">
        <v>14</v>
      </c>
      <c r="O149" s="9">
        <v>0.11</v>
      </c>
      <c r="S149" s="7">
        <v>96.03</v>
      </c>
      <c r="T149" s="7">
        <v>29.05</v>
      </c>
      <c r="X149" s="10" t="s">
        <v>428</v>
      </c>
      <c r="Y149" s="11" t="s">
        <v>521</v>
      </c>
      <c r="Z149" t="s">
        <v>522</v>
      </c>
    </row>
    <row r="150" spans="1:26">
      <c r="A150">
        <v>285</v>
      </c>
      <c r="B150" t="s">
        <v>517</v>
      </c>
      <c r="C150" t="s">
        <v>518</v>
      </c>
      <c r="D150" t="s">
        <v>519</v>
      </c>
      <c r="E150" t="s">
        <v>477</v>
      </c>
      <c r="F150" t="s">
        <v>517</v>
      </c>
      <c r="G150" t="s">
        <v>98</v>
      </c>
      <c r="H150" t="s">
        <v>10</v>
      </c>
      <c r="I150">
        <v>0</v>
      </c>
      <c r="J150" t="s">
        <v>523</v>
      </c>
      <c r="K150" s="9">
        <v>0.724</v>
      </c>
      <c r="L150" s="9">
        <v>0.244</v>
      </c>
      <c r="M150" s="9">
        <v>0.182</v>
      </c>
      <c r="N150" t="s">
        <v>14</v>
      </c>
      <c r="O150" s="9">
        <v>0.18</v>
      </c>
      <c r="S150" s="7">
        <v>95.98999999999999</v>
      </c>
      <c r="T150" s="7">
        <v>33.7</v>
      </c>
      <c r="X150" s="10" t="s">
        <v>428</v>
      </c>
      <c r="Y150" s="11" t="s">
        <v>524</v>
      </c>
      <c r="Z150" t="s">
        <v>522</v>
      </c>
    </row>
    <row r="151" spans="1:26">
      <c r="A151">
        <v>286</v>
      </c>
      <c r="B151" t="s">
        <v>517</v>
      </c>
      <c r="C151" t="s">
        <v>518</v>
      </c>
      <c r="D151" t="s">
        <v>519</v>
      </c>
      <c r="E151" t="s">
        <v>477</v>
      </c>
      <c r="F151" t="s">
        <v>517</v>
      </c>
      <c r="G151" t="s">
        <v>107</v>
      </c>
      <c r="H151" t="s">
        <v>10</v>
      </c>
      <c r="I151">
        <v>0</v>
      </c>
      <c r="J151" t="s">
        <v>129</v>
      </c>
      <c r="K151" s="9">
        <v>0.675</v>
      </c>
      <c r="L151" s="9">
        <v>0.111</v>
      </c>
      <c r="M151" s="9">
        <v>0.105</v>
      </c>
      <c r="N151" t="s">
        <v>14</v>
      </c>
      <c r="O151" s="9">
        <v>0.1</v>
      </c>
      <c r="S151" s="7">
        <v>95.41</v>
      </c>
      <c r="T151" s="7">
        <v>16.44</v>
      </c>
      <c r="X151" s="10" t="s">
        <v>428</v>
      </c>
      <c r="Y151" s="11" t="s">
        <v>525</v>
      </c>
      <c r="Z151" t="s">
        <v>522</v>
      </c>
    </row>
    <row r="152" spans="1:26">
      <c r="A152">
        <v>287</v>
      </c>
      <c r="B152" t="s">
        <v>517</v>
      </c>
      <c r="C152" t="s">
        <v>518</v>
      </c>
      <c r="D152" t="s">
        <v>519</v>
      </c>
      <c r="E152" t="s">
        <v>477</v>
      </c>
      <c r="F152" t="s">
        <v>517</v>
      </c>
      <c r="G152" t="s">
        <v>112</v>
      </c>
      <c r="H152" t="s">
        <v>10</v>
      </c>
      <c r="I152">
        <v>0</v>
      </c>
      <c r="J152" t="s">
        <v>526</v>
      </c>
      <c r="K152" s="9">
        <v>0.806</v>
      </c>
      <c r="L152" s="9">
        <v>-0.156</v>
      </c>
      <c r="M152" s="9">
        <v>-0.11</v>
      </c>
      <c r="N152" t="s">
        <v>14</v>
      </c>
      <c r="O152" s="9">
        <v>-0.11</v>
      </c>
      <c r="S152" s="7">
        <v>94.29000000000001</v>
      </c>
      <c r="T152" s="7">
        <v>-19.35</v>
      </c>
      <c r="X152" s="10" t="s">
        <v>428</v>
      </c>
      <c r="Y152" s="11" t="s">
        <v>527</v>
      </c>
      <c r="Z152" t="s">
        <v>522</v>
      </c>
    </row>
    <row r="153" spans="1:26">
      <c r="A153">
        <v>288</v>
      </c>
      <c r="B153" t="s">
        <v>517</v>
      </c>
      <c r="C153" t="s">
        <v>518</v>
      </c>
      <c r="D153" t="s">
        <v>519</v>
      </c>
      <c r="E153" t="s">
        <v>477</v>
      </c>
      <c r="F153" t="s">
        <v>517</v>
      </c>
      <c r="G153" t="s">
        <v>116</v>
      </c>
      <c r="H153" t="s">
        <v>10</v>
      </c>
      <c r="I153">
        <v>0</v>
      </c>
      <c r="J153" t="s">
        <v>499</v>
      </c>
      <c r="K153" s="9">
        <v>0.824</v>
      </c>
      <c r="L153" s="9">
        <v>0.134</v>
      </c>
      <c r="M153" s="9">
        <v>0.08699999999999999</v>
      </c>
      <c r="N153" t="s">
        <v>14</v>
      </c>
      <c r="O153" s="9">
        <v>0.08</v>
      </c>
      <c r="S153" s="7">
        <v>95.63</v>
      </c>
      <c r="T153" s="7">
        <v>16.26</v>
      </c>
      <c r="X153" s="10" t="s">
        <v>428</v>
      </c>
      <c r="Y153" s="11" t="s">
        <v>528</v>
      </c>
      <c r="Z153" t="s">
        <v>522</v>
      </c>
    </row>
    <row r="154" spans="1:26">
      <c r="A154">
        <v>289</v>
      </c>
      <c r="B154" t="s">
        <v>517</v>
      </c>
      <c r="C154" t="s">
        <v>518</v>
      </c>
      <c r="D154" t="s">
        <v>519</v>
      </c>
      <c r="E154" t="s">
        <v>477</v>
      </c>
      <c r="F154" t="s">
        <v>517</v>
      </c>
      <c r="G154" t="s">
        <v>124</v>
      </c>
      <c r="H154" t="s">
        <v>10</v>
      </c>
      <c r="I154">
        <v>0</v>
      </c>
      <c r="J154" t="s">
        <v>329</v>
      </c>
      <c r="K154" s="9">
        <v>0.9389999999999999</v>
      </c>
      <c r="L154" s="9">
        <v>0.182</v>
      </c>
      <c r="M154" s="9">
        <v>0.223</v>
      </c>
      <c r="N154" t="s">
        <v>14</v>
      </c>
      <c r="O154" s="9">
        <v>0.21</v>
      </c>
      <c r="S154" s="7">
        <v>96.48999999999999</v>
      </c>
      <c r="T154" s="7">
        <v>19.38</v>
      </c>
      <c r="X154" s="10" t="s">
        <v>428</v>
      </c>
      <c r="Y154" s="11" t="s">
        <v>529</v>
      </c>
      <c r="Z154" t="s">
        <v>522</v>
      </c>
    </row>
    <row r="155" spans="1:26">
      <c r="A155">
        <v>290</v>
      </c>
      <c r="B155" t="s">
        <v>517</v>
      </c>
      <c r="C155" t="s">
        <v>518</v>
      </c>
      <c r="D155" t="s">
        <v>519</v>
      </c>
      <c r="E155" t="s">
        <v>477</v>
      </c>
      <c r="F155" t="s">
        <v>517</v>
      </c>
      <c r="G155" t="s">
        <v>128</v>
      </c>
      <c r="H155" t="s">
        <v>10</v>
      </c>
      <c r="I155">
        <v>0</v>
      </c>
      <c r="J155" t="s">
        <v>511</v>
      </c>
      <c r="K155" s="9">
        <v>0.844</v>
      </c>
      <c r="L155" s="9">
        <v>0.064</v>
      </c>
      <c r="M155" s="9">
        <v>0.107</v>
      </c>
      <c r="N155" t="s">
        <v>14</v>
      </c>
      <c r="O155" s="9">
        <v>0.1</v>
      </c>
      <c r="S155" s="7">
        <v>96.20999999999999</v>
      </c>
      <c r="T155" s="7">
        <v>7.58</v>
      </c>
      <c r="X155" s="10" t="s">
        <v>428</v>
      </c>
      <c r="Y155" s="11" t="s">
        <v>530</v>
      </c>
      <c r="Z155" t="s">
        <v>522</v>
      </c>
    </row>
    <row r="156" spans="1:26">
      <c r="A156">
        <v>291</v>
      </c>
      <c r="B156" t="s">
        <v>517</v>
      </c>
      <c r="C156" t="s">
        <v>518</v>
      </c>
      <c r="D156" t="s">
        <v>519</v>
      </c>
      <c r="E156" t="s">
        <v>477</v>
      </c>
      <c r="F156" t="s">
        <v>517</v>
      </c>
      <c r="G156" t="s">
        <v>133</v>
      </c>
      <c r="H156" t="s">
        <v>10</v>
      </c>
      <c r="I156">
        <v>0</v>
      </c>
      <c r="J156" t="s">
        <v>505</v>
      </c>
      <c r="K156" s="9">
        <v>0.983</v>
      </c>
      <c r="L156" s="9">
        <v>0.175</v>
      </c>
      <c r="M156" s="9">
        <v>0.252</v>
      </c>
      <c r="N156" t="s">
        <v>14</v>
      </c>
      <c r="O156" s="9">
        <v>0.24</v>
      </c>
      <c r="S156" s="7">
        <v>97.15000000000001</v>
      </c>
      <c r="T156" s="7">
        <v>17.8</v>
      </c>
      <c r="X156" s="10" t="s">
        <v>428</v>
      </c>
      <c r="Y156" s="11" t="s">
        <v>531</v>
      </c>
      <c r="Z156" t="s">
        <v>522</v>
      </c>
    </row>
    <row r="157" spans="1:26">
      <c r="A157">
        <v>292</v>
      </c>
      <c r="B157" t="s">
        <v>517</v>
      </c>
      <c r="C157" t="s">
        <v>518</v>
      </c>
      <c r="D157" t="s">
        <v>519</v>
      </c>
      <c r="E157" t="s">
        <v>477</v>
      </c>
      <c r="F157" t="s">
        <v>517</v>
      </c>
      <c r="G157" t="s">
        <v>137</v>
      </c>
      <c r="H157" t="s">
        <v>10</v>
      </c>
      <c r="I157">
        <v>0</v>
      </c>
      <c r="J157" t="s">
        <v>532</v>
      </c>
      <c r="K157" s="9">
        <v>0.928</v>
      </c>
      <c r="L157" s="9">
        <v>0.022</v>
      </c>
      <c r="M157" s="9">
        <v>0.224</v>
      </c>
      <c r="N157" t="s">
        <v>14</v>
      </c>
      <c r="S157" s="7">
        <v>95.58</v>
      </c>
      <c r="T157" s="7">
        <v>2.37</v>
      </c>
      <c r="X157" s="10" t="s">
        <v>483</v>
      </c>
      <c r="Y157" s="11" t="s">
        <v>533</v>
      </c>
      <c r="Z157" t="s">
        <v>522</v>
      </c>
    </row>
    <row r="158" spans="1:26">
      <c r="A158">
        <v>293</v>
      </c>
      <c r="B158" t="s">
        <v>517</v>
      </c>
      <c r="C158" t="s">
        <v>518</v>
      </c>
      <c r="D158" t="s">
        <v>519</v>
      </c>
      <c r="E158" t="s">
        <v>477</v>
      </c>
      <c r="F158" t="s">
        <v>517</v>
      </c>
      <c r="G158" t="s">
        <v>141</v>
      </c>
      <c r="H158" t="s">
        <v>10</v>
      </c>
      <c r="I158">
        <v>0</v>
      </c>
      <c r="J158" t="s">
        <v>251</v>
      </c>
      <c r="K158" s="9">
        <v>1.053</v>
      </c>
      <c r="L158" s="9">
        <v>0.114</v>
      </c>
      <c r="M158" s="9">
        <v>0.13</v>
      </c>
      <c r="N158" t="s">
        <v>14</v>
      </c>
      <c r="O158" s="9">
        <v>0.12</v>
      </c>
      <c r="S158" s="7">
        <v>97.15000000000001</v>
      </c>
      <c r="T158" s="7">
        <v>10.83</v>
      </c>
      <c r="X158" s="10" t="s">
        <v>428</v>
      </c>
      <c r="Y158" s="11" t="s">
        <v>534</v>
      </c>
      <c r="Z158" t="s">
        <v>522</v>
      </c>
    </row>
    <row r="159" spans="1:26">
      <c r="A159">
        <v>294</v>
      </c>
      <c r="B159" t="s">
        <v>517</v>
      </c>
      <c r="C159" t="s">
        <v>518</v>
      </c>
      <c r="D159" t="s">
        <v>519</v>
      </c>
      <c r="E159" t="s">
        <v>477</v>
      </c>
      <c r="F159" t="s">
        <v>517</v>
      </c>
      <c r="G159" t="s">
        <v>146</v>
      </c>
      <c r="H159" t="s">
        <v>10</v>
      </c>
      <c r="I159">
        <v>0</v>
      </c>
      <c r="J159" t="s">
        <v>511</v>
      </c>
      <c r="K159" s="9">
        <v>1.135</v>
      </c>
      <c r="L159" s="9">
        <v>0.163</v>
      </c>
      <c r="M159" s="9">
        <v>0.238</v>
      </c>
      <c r="N159" t="s">
        <v>14</v>
      </c>
      <c r="O159" s="9">
        <v>0.22</v>
      </c>
      <c r="S159" s="7">
        <v>97.44</v>
      </c>
      <c r="T159" s="7">
        <v>14.36</v>
      </c>
      <c r="X159" s="10" t="s">
        <v>428</v>
      </c>
      <c r="Y159" s="11" t="s">
        <v>530</v>
      </c>
      <c r="Z159" t="s">
        <v>522</v>
      </c>
    </row>
    <row r="160" spans="1:26">
      <c r="A160">
        <v>295</v>
      </c>
      <c r="B160" t="s">
        <v>517</v>
      </c>
      <c r="C160" t="s">
        <v>518</v>
      </c>
      <c r="D160" t="s">
        <v>519</v>
      </c>
      <c r="E160" t="s">
        <v>477</v>
      </c>
      <c r="F160" t="s">
        <v>517</v>
      </c>
      <c r="G160" t="s">
        <v>472</v>
      </c>
      <c r="H160" t="s">
        <v>10</v>
      </c>
      <c r="I160">
        <v>0</v>
      </c>
      <c r="J160" t="s">
        <v>505</v>
      </c>
      <c r="K160" s="9">
        <v>1.242</v>
      </c>
      <c r="L160" s="9">
        <v>0.185</v>
      </c>
      <c r="M160" s="9">
        <v>0.223</v>
      </c>
      <c r="N160" t="s">
        <v>14</v>
      </c>
      <c r="O160" s="9">
        <v>0.21</v>
      </c>
      <c r="S160" s="7">
        <v>97.58</v>
      </c>
      <c r="T160" s="7">
        <v>14.9</v>
      </c>
      <c r="X160" s="10" t="s">
        <v>428</v>
      </c>
      <c r="Y160" s="11" t="s">
        <v>531</v>
      </c>
      <c r="Z160" t="s">
        <v>522</v>
      </c>
    </row>
    <row r="161" spans="1:26">
      <c r="A161">
        <v>296</v>
      </c>
      <c r="B161" t="s">
        <v>517</v>
      </c>
      <c r="C161" t="s">
        <v>518</v>
      </c>
      <c r="D161" t="s">
        <v>519</v>
      </c>
      <c r="E161" t="s">
        <v>477</v>
      </c>
      <c r="F161" t="s">
        <v>517</v>
      </c>
      <c r="G161" t="s">
        <v>475</v>
      </c>
      <c r="H161" t="s">
        <v>10</v>
      </c>
      <c r="I161">
        <v>0</v>
      </c>
      <c r="J161" t="s">
        <v>532</v>
      </c>
      <c r="K161" s="9">
        <v>1.241</v>
      </c>
      <c r="L161" s="9">
        <v>0.41</v>
      </c>
      <c r="M161" s="9">
        <v>0.21</v>
      </c>
      <c r="N161" t="s">
        <v>14</v>
      </c>
      <c r="S161" s="7">
        <v>97.73999999999999</v>
      </c>
      <c r="T161" s="7">
        <v>33.04</v>
      </c>
      <c r="X161" s="10" t="s">
        <v>483</v>
      </c>
      <c r="Y161" s="11" t="s">
        <v>533</v>
      </c>
      <c r="Z161" t="s">
        <v>522</v>
      </c>
    </row>
    <row r="162" spans="1:26">
      <c r="A162">
        <v>297</v>
      </c>
      <c r="B162" t="s">
        <v>517</v>
      </c>
      <c r="C162" t="s">
        <v>518</v>
      </c>
      <c r="D162" t="s">
        <v>519</v>
      </c>
      <c r="E162" t="s">
        <v>477</v>
      </c>
      <c r="F162" t="s">
        <v>517</v>
      </c>
      <c r="G162" t="s">
        <v>150</v>
      </c>
      <c r="H162" t="s">
        <v>10</v>
      </c>
      <c r="I162">
        <v>0</v>
      </c>
      <c r="J162" t="s">
        <v>251</v>
      </c>
      <c r="K162" s="9">
        <v>1.289</v>
      </c>
      <c r="L162" s="9">
        <v>0.091</v>
      </c>
      <c r="M162" s="9">
        <v>0.27</v>
      </c>
      <c r="N162" t="s">
        <v>14</v>
      </c>
      <c r="O162" s="9">
        <v>0.25</v>
      </c>
      <c r="S162" s="7">
        <v>97.20999999999999</v>
      </c>
      <c r="T162" s="7">
        <v>7.06</v>
      </c>
      <c r="X162" s="10" t="s">
        <v>428</v>
      </c>
      <c r="Y162" s="11" t="s">
        <v>534</v>
      </c>
      <c r="Z162" t="s">
        <v>522</v>
      </c>
    </row>
    <row r="163" spans="1:26">
      <c r="A163">
        <v>463</v>
      </c>
      <c r="B163" t="s">
        <v>535</v>
      </c>
      <c r="C163" t="s">
        <v>536</v>
      </c>
      <c r="D163" t="s">
        <v>537</v>
      </c>
      <c r="E163" t="s">
        <v>477</v>
      </c>
      <c r="F163" t="s">
        <v>538</v>
      </c>
      <c r="G163" t="s">
        <v>50</v>
      </c>
      <c r="H163" t="s">
        <v>10</v>
      </c>
      <c r="I163">
        <v>0</v>
      </c>
      <c r="J163" t="s">
        <v>539</v>
      </c>
      <c r="K163" s="9">
        <v>5.858</v>
      </c>
      <c r="L163" s="9">
        <v>0.714</v>
      </c>
      <c r="M163" s="9">
        <v>0.385</v>
      </c>
      <c r="N163" t="s">
        <v>14</v>
      </c>
      <c r="O163" s="9">
        <v>0.74</v>
      </c>
      <c r="S163" s="7">
        <v>55.72</v>
      </c>
      <c r="T163" s="7">
        <v>12.19</v>
      </c>
      <c r="X163" s="10" t="s">
        <v>428</v>
      </c>
      <c r="Y163" s="11" t="s">
        <v>540</v>
      </c>
      <c r="Z163" t="s">
        <v>430</v>
      </c>
    </row>
    <row r="164" spans="1:26">
      <c r="A164">
        <v>464</v>
      </c>
      <c r="B164" t="s">
        <v>535</v>
      </c>
      <c r="C164" t="s">
        <v>536</v>
      </c>
      <c r="D164" t="s">
        <v>537</v>
      </c>
      <c r="E164" t="s">
        <v>477</v>
      </c>
      <c r="F164" t="s">
        <v>538</v>
      </c>
      <c r="G164" t="s">
        <v>57</v>
      </c>
      <c r="H164" t="s">
        <v>10</v>
      </c>
      <c r="I164">
        <v>0</v>
      </c>
      <c r="J164" t="s">
        <v>541</v>
      </c>
      <c r="K164" s="9">
        <v>5.742</v>
      </c>
      <c r="L164" s="9">
        <v>0.766</v>
      </c>
      <c r="M164" s="9">
        <v>0.5629999999999999</v>
      </c>
      <c r="N164" t="s">
        <v>14</v>
      </c>
      <c r="O164" s="9">
        <v>1.17</v>
      </c>
      <c r="S164" s="7">
        <v>55.54</v>
      </c>
      <c r="T164" s="7">
        <v>13.34</v>
      </c>
      <c r="X164" s="10" t="s">
        <v>428</v>
      </c>
      <c r="Y164" s="11" t="s">
        <v>542</v>
      </c>
      <c r="Z164" t="s">
        <v>430</v>
      </c>
    </row>
    <row r="165" spans="1:26">
      <c r="A165">
        <v>465</v>
      </c>
      <c r="B165" t="s">
        <v>535</v>
      </c>
      <c r="C165" t="s">
        <v>536</v>
      </c>
      <c r="D165" t="s">
        <v>537</v>
      </c>
      <c r="E165" t="s">
        <v>477</v>
      </c>
      <c r="F165" t="s">
        <v>538</v>
      </c>
      <c r="G165" t="s">
        <v>62</v>
      </c>
      <c r="H165" t="s">
        <v>10</v>
      </c>
      <c r="I165">
        <v>0</v>
      </c>
      <c r="J165" t="s">
        <v>543</v>
      </c>
      <c r="K165" s="9">
        <v>5.821</v>
      </c>
      <c r="L165" s="9">
        <v>1.008</v>
      </c>
      <c r="M165" s="9">
        <v>0.6879999999999999</v>
      </c>
      <c r="N165" t="s">
        <v>14</v>
      </c>
      <c r="O165" s="9">
        <v>1.45</v>
      </c>
      <c r="S165" s="7">
        <v>56.97</v>
      </c>
      <c r="T165" s="7">
        <v>17.32</v>
      </c>
      <c r="X165" s="10" t="s">
        <v>428</v>
      </c>
      <c r="Y165" s="11" t="s">
        <v>544</v>
      </c>
      <c r="Z165" t="s">
        <v>430</v>
      </c>
    </row>
    <row r="166" spans="1:26">
      <c r="A166">
        <v>466</v>
      </c>
      <c r="B166" t="s">
        <v>535</v>
      </c>
      <c r="C166" t="s">
        <v>536</v>
      </c>
      <c r="D166" t="s">
        <v>537</v>
      </c>
      <c r="E166" t="s">
        <v>477</v>
      </c>
      <c r="F166" t="s">
        <v>538</v>
      </c>
      <c r="G166" t="s">
        <v>66</v>
      </c>
      <c r="H166" t="s">
        <v>10</v>
      </c>
      <c r="I166">
        <v>0</v>
      </c>
      <c r="J166" t="s">
        <v>545</v>
      </c>
      <c r="K166" s="9">
        <v>6.467</v>
      </c>
      <c r="L166" s="9">
        <v>1.526</v>
      </c>
      <c r="M166" s="9">
        <v>1.324</v>
      </c>
      <c r="N166" t="s">
        <v>14</v>
      </c>
      <c r="S166" s="7">
        <v>57.94</v>
      </c>
      <c r="T166" s="7">
        <v>23.6</v>
      </c>
      <c r="X166" s="10" t="s">
        <v>483</v>
      </c>
      <c r="Y166" s="11" t="s">
        <v>546</v>
      </c>
      <c r="Z166" t="s">
        <v>430</v>
      </c>
    </row>
    <row r="167" spans="1:26">
      <c r="A167">
        <v>467</v>
      </c>
      <c r="B167" t="s">
        <v>535</v>
      </c>
      <c r="C167" t="s">
        <v>536</v>
      </c>
      <c r="D167" t="s">
        <v>537</v>
      </c>
      <c r="E167" t="s">
        <v>477</v>
      </c>
      <c r="F167" t="s">
        <v>538</v>
      </c>
      <c r="G167" t="s">
        <v>71</v>
      </c>
      <c r="H167" t="s">
        <v>10</v>
      </c>
      <c r="I167">
        <v>0</v>
      </c>
      <c r="J167" t="s">
        <v>547</v>
      </c>
      <c r="K167" s="9">
        <v>6.655</v>
      </c>
      <c r="L167" s="9">
        <v>1.837</v>
      </c>
      <c r="M167" s="9">
        <v>1.378</v>
      </c>
      <c r="N167" t="s">
        <v>14</v>
      </c>
      <c r="O167" s="9">
        <v>3.05</v>
      </c>
      <c r="S167" s="7">
        <v>59.38</v>
      </c>
      <c r="T167" s="7">
        <v>27.6</v>
      </c>
      <c r="X167" s="10" t="s">
        <v>428</v>
      </c>
      <c r="Y167" s="11" t="s">
        <v>548</v>
      </c>
      <c r="Z167" t="s">
        <v>430</v>
      </c>
    </row>
    <row r="168" spans="1:26">
      <c r="A168">
        <v>468</v>
      </c>
      <c r="B168" t="s">
        <v>535</v>
      </c>
      <c r="C168" t="s">
        <v>536</v>
      </c>
      <c r="D168" t="s">
        <v>537</v>
      </c>
      <c r="E168" t="s">
        <v>477</v>
      </c>
      <c r="F168" t="s">
        <v>538</v>
      </c>
      <c r="G168" t="s">
        <v>75</v>
      </c>
      <c r="H168" t="s">
        <v>10</v>
      </c>
      <c r="I168">
        <v>0</v>
      </c>
      <c r="J168" t="s">
        <v>549</v>
      </c>
      <c r="K168" s="9">
        <v>6.61</v>
      </c>
      <c r="L168" s="9">
        <v>1.975</v>
      </c>
      <c r="M168" s="9">
        <v>1.493</v>
      </c>
      <c r="N168" t="s">
        <v>14</v>
      </c>
      <c r="O168" s="9">
        <v>3.3</v>
      </c>
      <c r="S168" s="7">
        <v>61.38</v>
      </c>
      <c r="T168" s="7">
        <v>29.88</v>
      </c>
      <c r="X168" s="10" t="s">
        <v>428</v>
      </c>
      <c r="Y168" s="11" t="s">
        <v>550</v>
      </c>
      <c r="Z168" t="s">
        <v>430</v>
      </c>
    </row>
    <row r="169" spans="1:26">
      <c r="A169">
        <v>469</v>
      </c>
      <c r="B169" t="s">
        <v>535</v>
      </c>
      <c r="C169" t="s">
        <v>536</v>
      </c>
      <c r="D169" t="s">
        <v>537</v>
      </c>
      <c r="E169" t="s">
        <v>477</v>
      </c>
      <c r="F169" t="s">
        <v>538</v>
      </c>
      <c r="G169" t="s">
        <v>80</v>
      </c>
      <c r="H169" t="s">
        <v>10</v>
      </c>
      <c r="I169">
        <v>0</v>
      </c>
      <c r="J169" t="s">
        <v>551</v>
      </c>
      <c r="K169" s="9">
        <v>6.778</v>
      </c>
      <c r="L169" s="9">
        <v>2.126</v>
      </c>
      <c r="M169" s="9">
        <v>1.876</v>
      </c>
      <c r="N169" t="s">
        <v>14</v>
      </c>
      <c r="O169" s="9">
        <v>4.2</v>
      </c>
      <c r="S169" s="7">
        <v>61.92</v>
      </c>
      <c r="T169" s="7">
        <v>31.37</v>
      </c>
      <c r="X169" s="10" t="s">
        <v>428</v>
      </c>
      <c r="Y169" s="11" t="s">
        <v>552</v>
      </c>
      <c r="Z169" t="s">
        <v>430</v>
      </c>
    </row>
    <row r="170" spans="1:26">
      <c r="A170">
        <v>470</v>
      </c>
      <c r="B170" t="s">
        <v>535</v>
      </c>
      <c r="C170" t="s">
        <v>536</v>
      </c>
      <c r="D170" t="s">
        <v>537</v>
      </c>
      <c r="E170" t="s">
        <v>477</v>
      </c>
      <c r="F170" t="s">
        <v>538</v>
      </c>
      <c r="G170" t="s">
        <v>85</v>
      </c>
      <c r="H170" t="s">
        <v>10</v>
      </c>
      <c r="I170">
        <v>0</v>
      </c>
      <c r="J170" t="s">
        <v>553</v>
      </c>
      <c r="K170" s="9">
        <v>7.407</v>
      </c>
      <c r="L170" s="9">
        <v>2.581</v>
      </c>
      <c r="M170" s="9">
        <v>1.989</v>
      </c>
      <c r="N170" t="s">
        <v>14</v>
      </c>
      <c r="S170" s="7">
        <v>62.62</v>
      </c>
      <c r="T170" s="7">
        <v>34.85</v>
      </c>
      <c r="X170" s="10" t="s">
        <v>483</v>
      </c>
      <c r="Y170" s="11" t="s">
        <v>554</v>
      </c>
      <c r="Z170" t="s">
        <v>430</v>
      </c>
    </row>
    <row r="171" spans="1:26">
      <c r="A171">
        <v>471</v>
      </c>
      <c r="B171" t="s">
        <v>535</v>
      </c>
      <c r="C171" t="s">
        <v>536</v>
      </c>
      <c r="D171" t="s">
        <v>537</v>
      </c>
      <c r="E171" t="s">
        <v>477</v>
      </c>
      <c r="F171" t="s">
        <v>538</v>
      </c>
      <c r="G171" t="s">
        <v>89</v>
      </c>
      <c r="H171" t="s">
        <v>10</v>
      </c>
      <c r="I171">
        <v>0</v>
      </c>
      <c r="J171" t="s">
        <v>555</v>
      </c>
      <c r="K171" s="9">
        <v>7.706</v>
      </c>
      <c r="L171" s="9">
        <v>3.108</v>
      </c>
      <c r="M171" s="9">
        <v>2.472</v>
      </c>
      <c r="N171" t="s">
        <v>14</v>
      </c>
      <c r="O171" s="9">
        <v>5.59</v>
      </c>
      <c r="S171" s="7">
        <v>65.52</v>
      </c>
      <c r="T171" s="7">
        <v>40.33</v>
      </c>
      <c r="X171" s="10" t="s">
        <v>428</v>
      </c>
      <c r="Y171" s="11" t="s">
        <v>556</v>
      </c>
      <c r="Z171" t="s">
        <v>430</v>
      </c>
    </row>
    <row r="172" spans="1:26">
      <c r="A172">
        <v>472</v>
      </c>
      <c r="B172" t="s">
        <v>535</v>
      </c>
      <c r="C172" t="s">
        <v>536</v>
      </c>
      <c r="D172" t="s">
        <v>537</v>
      </c>
      <c r="E172" t="s">
        <v>477</v>
      </c>
      <c r="F172" t="s">
        <v>538</v>
      </c>
      <c r="G172" t="s">
        <v>93</v>
      </c>
      <c r="H172" t="s">
        <v>10</v>
      </c>
      <c r="I172">
        <v>0</v>
      </c>
      <c r="J172" t="s">
        <v>557</v>
      </c>
      <c r="K172" s="9">
        <v>8.103</v>
      </c>
      <c r="L172" s="9">
        <v>3.394</v>
      </c>
      <c r="M172" s="9">
        <v>2.59</v>
      </c>
      <c r="N172" t="s">
        <v>14</v>
      </c>
      <c r="O172" s="9">
        <v>5.93</v>
      </c>
      <c r="S172" s="7">
        <v>67.12</v>
      </c>
      <c r="T172" s="7">
        <v>41.89</v>
      </c>
      <c r="X172" s="10" t="s">
        <v>428</v>
      </c>
      <c r="Y172" s="11" t="s">
        <v>558</v>
      </c>
      <c r="Z172" t="s">
        <v>430</v>
      </c>
    </row>
    <row r="173" spans="1:26">
      <c r="A173">
        <v>473</v>
      </c>
      <c r="B173" t="s">
        <v>535</v>
      </c>
      <c r="C173" t="s">
        <v>536</v>
      </c>
      <c r="D173" t="s">
        <v>537</v>
      </c>
      <c r="E173" t="s">
        <v>477</v>
      </c>
      <c r="F173" t="s">
        <v>538</v>
      </c>
      <c r="G173" t="s">
        <v>98</v>
      </c>
      <c r="H173" t="s">
        <v>10</v>
      </c>
      <c r="I173">
        <v>0</v>
      </c>
      <c r="J173" t="s">
        <v>559</v>
      </c>
      <c r="K173" s="9">
        <v>8.464</v>
      </c>
      <c r="L173" s="9">
        <v>3.737</v>
      </c>
      <c r="M173" s="9">
        <v>3.074</v>
      </c>
      <c r="N173" t="s">
        <v>14</v>
      </c>
      <c r="O173" s="9">
        <v>7.15</v>
      </c>
      <c r="S173" s="7">
        <v>67.12</v>
      </c>
      <c r="T173" s="7">
        <v>44.15</v>
      </c>
      <c r="X173" s="10" t="s">
        <v>428</v>
      </c>
      <c r="Y173" s="11" t="s">
        <v>560</v>
      </c>
      <c r="Z173" t="s">
        <v>430</v>
      </c>
    </row>
    <row r="174" spans="1:26">
      <c r="A174">
        <v>474</v>
      </c>
      <c r="B174" t="s">
        <v>535</v>
      </c>
      <c r="C174" t="s">
        <v>536</v>
      </c>
      <c r="D174" t="s">
        <v>537</v>
      </c>
      <c r="E174" t="s">
        <v>477</v>
      </c>
      <c r="F174" t="s">
        <v>538</v>
      </c>
      <c r="G174" t="s">
        <v>103</v>
      </c>
      <c r="H174" t="s">
        <v>10</v>
      </c>
      <c r="I174">
        <v>0</v>
      </c>
      <c r="J174" t="s">
        <v>561</v>
      </c>
      <c r="K174" s="9">
        <v>8.93</v>
      </c>
      <c r="L174" s="9">
        <v>3.986</v>
      </c>
      <c r="M174" s="9">
        <v>3.359</v>
      </c>
      <c r="N174" t="s">
        <v>14</v>
      </c>
      <c r="S174" s="7">
        <v>66.36</v>
      </c>
      <c r="T174" s="7">
        <v>44.64</v>
      </c>
      <c r="X174" s="10" t="s">
        <v>483</v>
      </c>
      <c r="Y174" s="11" t="s">
        <v>562</v>
      </c>
      <c r="Z174" t="s">
        <v>430</v>
      </c>
    </row>
    <row r="175" spans="1:26">
      <c r="A175">
        <v>475</v>
      </c>
      <c r="B175" t="s">
        <v>535</v>
      </c>
      <c r="C175" t="s">
        <v>536</v>
      </c>
      <c r="D175" t="s">
        <v>537</v>
      </c>
      <c r="E175" t="s">
        <v>477</v>
      </c>
      <c r="F175" t="s">
        <v>538</v>
      </c>
      <c r="G175" t="s">
        <v>107</v>
      </c>
      <c r="H175" t="s">
        <v>10</v>
      </c>
      <c r="I175">
        <v>0</v>
      </c>
      <c r="J175" t="s">
        <v>563</v>
      </c>
      <c r="K175" s="9">
        <v>8.914999999999999</v>
      </c>
      <c r="L175" s="9">
        <v>4.103</v>
      </c>
      <c r="M175" s="9">
        <v>3.774</v>
      </c>
      <c r="N175" t="s">
        <v>14</v>
      </c>
      <c r="O175" s="9">
        <v>8.800000000000001</v>
      </c>
      <c r="S175" s="7">
        <v>67.34999999999999</v>
      </c>
      <c r="T175" s="7">
        <v>46.02</v>
      </c>
      <c r="X175" s="10" t="s">
        <v>428</v>
      </c>
      <c r="Y175" s="11" t="s">
        <v>564</v>
      </c>
      <c r="Z175" t="s">
        <v>430</v>
      </c>
    </row>
    <row r="176" spans="1:26">
      <c r="A176">
        <v>476</v>
      </c>
      <c r="B176" t="s">
        <v>535</v>
      </c>
      <c r="C176" t="s">
        <v>536</v>
      </c>
      <c r="D176" t="s">
        <v>537</v>
      </c>
      <c r="E176" t="s">
        <v>477</v>
      </c>
      <c r="F176" t="s">
        <v>538</v>
      </c>
      <c r="G176" t="s">
        <v>112</v>
      </c>
      <c r="H176" t="s">
        <v>10</v>
      </c>
      <c r="I176">
        <v>0</v>
      </c>
      <c r="J176" t="s">
        <v>565</v>
      </c>
      <c r="K176" s="9">
        <v>8.733000000000001</v>
      </c>
      <c r="L176" s="9">
        <v>4.008</v>
      </c>
      <c r="M176" s="9">
        <v>3.481</v>
      </c>
      <c r="N176" t="s">
        <v>14</v>
      </c>
      <c r="O176" s="9">
        <v>8.15</v>
      </c>
      <c r="S176" s="7">
        <v>70.02</v>
      </c>
      <c r="T176" s="7">
        <v>45.89</v>
      </c>
      <c r="X176" s="10" t="s">
        <v>428</v>
      </c>
      <c r="Y176" s="11" t="s">
        <v>566</v>
      </c>
      <c r="Z176" t="s">
        <v>430</v>
      </c>
    </row>
    <row r="177" spans="1:26">
      <c r="A177">
        <v>477</v>
      </c>
      <c r="B177" t="s">
        <v>535</v>
      </c>
      <c r="C177" t="s">
        <v>536</v>
      </c>
      <c r="D177" t="s">
        <v>537</v>
      </c>
      <c r="E177" t="s">
        <v>477</v>
      </c>
      <c r="F177" t="s">
        <v>538</v>
      </c>
      <c r="G177" t="s">
        <v>116</v>
      </c>
      <c r="H177" t="s">
        <v>10</v>
      </c>
      <c r="I177">
        <v>0</v>
      </c>
      <c r="J177" t="s">
        <v>567</v>
      </c>
      <c r="K177" s="9">
        <v>8.875999999999999</v>
      </c>
      <c r="L177" s="9">
        <v>3.856</v>
      </c>
      <c r="M177" s="9">
        <v>3.303</v>
      </c>
      <c r="N177" t="s">
        <v>14</v>
      </c>
      <c r="O177" s="9">
        <v>0.77</v>
      </c>
      <c r="S177" s="7">
        <v>69.45</v>
      </c>
      <c r="T177" s="7">
        <v>43.44</v>
      </c>
      <c r="X177" s="10" t="s">
        <v>428</v>
      </c>
      <c r="Y177" s="11" t="s">
        <v>568</v>
      </c>
      <c r="Z177" t="s">
        <v>430</v>
      </c>
    </row>
    <row r="178" spans="1:26">
      <c r="A178">
        <v>478</v>
      </c>
      <c r="B178" t="s">
        <v>535</v>
      </c>
      <c r="C178" t="s">
        <v>536</v>
      </c>
      <c r="D178" t="s">
        <v>537</v>
      </c>
      <c r="E178" t="s">
        <v>477</v>
      </c>
      <c r="F178" t="s">
        <v>538</v>
      </c>
      <c r="G178" t="s">
        <v>120</v>
      </c>
      <c r="H178" t="s">
        <v>10</v>
      </c>
      <c r="I178">
        <v>0</v>
      </c>
      <c r="J178" t="s">
        <v>569</v>
      </c>
      <c r="K178" s="9">
        <v>9.295</v>
      </c>
      <c r="L178" s="9">
        <v>4.24</v>
      </c>
      <c r="M178" s="9">
        <v>3.524</v>
      </c>
      <c r="N178" t="s">
        <v>14</v>
      </c>
      <c r="S178" s="7">
        <v>68.93000000000001</v>
      </c>
      <c r="T178" s="7">
        <v>45.62</v>
      </c>
      <c r="X178" s="10" t="s">
        <v>483</v>
      </c>
      <c r="Y178" s="11" t="s">
        <v>570</v>
      </c>
      <c r="Z178" t="s">
        <v>430</v>
      </c>
    </row>
    <row r="179" spans="1:26">
      <c r="A179">
        <v>479</v>
      </c>
      <c r="B179" t="s">
        <v>535</v>
      </c>
      <c r="C179" t="s">
        <v>536</v>
      </c>
      <c r="D179" t="s">
        <v>537</v>
      </c>
      <c r="E179" t="s">
        <v>477</v>
      </c>
      <c r="F179" t="s">
        <v>538</v>
      </c>
      <c r="G179" t="s">
        <v>124</v>
      </c>
      <c r="H179" t="s">
        <v>10</v>
      </c>
      <c r="I179">
        <v>0</v>
      </c>
      <c r="J179" t="s">
        <v>571</v>
      </c>
      <c r="K179" s="9">
        <v>11.961</v>
      </c>
      <c r="L179" s="9">
        <v>2.083</v>
      </c>
      <c r="M179" s="9">
        <v>1.325</v>
      </c>
      <c r="N179" t="s">
        <v>14</v>
      </c>
      <c r="O179" s="9">
        <v>0.28</v>
      </c>
      <c r="S179" s="7">
        <v>61.66</v>
      </c>
      <c r="T179" s="7">
        <v>17.41</v>
      </c>
      <c r="X179" s="10" t="s">
        <v>428</v>
      </c>
      <c r="Y179" s="11" t="s">
        <v>572</v>
      </c>
      <c r="Z179" t="s">
        <v>430</v>
      </c>
    </row>
    <row r="180" spans="1:26">
      <c r="A180">
        <v>480</v>
      </c>
      <c r="B180" t="s">
        <v>535</v>
      </c>
      <c r="C180" t="s">
        <v>536</v>
      </c>
      <c r="D180" t="s">
        <v>537</v>
      </c>
      <c r="E180" t="s">
        <v>477</v>
      </c>
      <c r="F180" t="s">
        <v>538</v>
      </c>
      <c r="G180" t="s">
        <v>128</v>
      </c>
      <c r="H180" t="s">
        <v>10</v>
      </c>
      <c r="I180">
        <v>0</v>
      </c>
      <c r="J180" t="s">
        <v>573</v>
      </c>
      <c r="K180" s="9">
        <v>12.487</v>
      </c>
      <c r="L180" s="9">
        <v>2.965</v>
      </c>
      <c r="M180" s="9">
        <v>2.121</v>
      </c>
      <c r="N180" t="s">
        <v>14</v>
      </c>
      <c r="O180" s="9">
        <v>0.44</v>
      </c>
      <c r="S180" s="7">
        <v>62.27</v>
      </c>
      <c r="T180" s="7">
        <v>23.74</v>
      </c>
      <c r="X180" s="10" t="s">
        <v>428</v>
      </c>
      <c r="Y180" s="11" t="s">
        <v>574</v>
      </c>
      <c r="Z180" t="s">
        <v>430</v>
      </c>
    </row>
    <row r="181" spans="1:26">
      <c r="A181">
        <v>481</v>
      </c>
      <c r="B181" t="s">
        <v>535</v>
      </c>
      <c r="C181" t="s">
        <v>536</v>
      </c>
      <c r="D181" t="s">
        <v>537</v>
      </c>
      <c r="E181" t="s">
        <v>477</v>
      </c>
      <c r="F181" t="s">
        <v>538</v>
      </c>
      <c r="G181" t="s">
        <v>133</v>
      </c>
      <c r="H181" t="s">
        <v>10</v>
      </c>
      <c r="I181">
        <v>0</v>
      </c>
      <c r="J181" t="s">
        <v>462</v>
      </c>
      <c r="K181" s="9">
        <v>13.072</v>
      </c>
      <c r="L181" s="9">
        <v>3.788</v>
      </c>
      <c r="M181" s="9">
        <v>-1.875</v>
      </c>
      <c r="N181" t="s">
        <v>14</v>
      </c>
      <c r="O181" s="9">
        <v>-0.4</v>
      </c>
      <c r="S181" s="7">
        <v>63.92</v>
      </c>
      <c r="T181" s="7">
        <v>28.98</v>
      </c>
      <c r="X181" s="10" t="s">
        <v>428</v>
      </c>
      <c r="Y181" s="11" t="s">
        <v>575</v>
      </c>
      <c r="Z181" t="s">
        <v>430</v>
      </c>
    </row>
    <row r="182" spans="1:26">
      <c r="A182">
        <v>482</v>
      </c>
      <c r="B182" t="s">
        <v>535</v>
      </c>
      <c r="C182" t="s">
        <v>536</v>
      </c>
      <c r="D182" t="s">
        <v>537</v>
      </c>
      <c r="E182" t="s">
        <v>477</v>
      </c>
      <c r="F182" t="s">
        <v>538</v>
      </c>
      <c r="G182" t="s">
        <v>137</v>
      </c>
      <c r="H182" t="s">
        <v>10</v>
      </c>
      <c r="I182">
        <v>0</v>
      </c>
      <c r="J182" t="s">
        <v>569</v>
      </c>
      <c r="K182" s="9">
        <v>14.054</v>
      </c>
      <c r="L182" s="9">
        <v>4.627</v>
      </c>
      <c r="M182" s="9">
        <v>4.324</v>
      </c>
      <c r="N182" t="s">
        <v>14</v>
      </c>
      <c r="S182" s="7">
        <v>64.05</v>
      </c>
      <c r="T182" s="7">
        <v>32.92</v>
      </c>
      <c r="X182" s="10" t="s">
        <v>483</v>
      </c>
      <c r="Y182" s="11" t="s">
        <v>570</v>
      </c>
      <c r="Z182" t="s">
        <v>430</v>
      </c>
    </row>
    <row r="183" spans="1:26">
      <c r="A183">
        <v>483</v>
      </c>
      <c r="B183" t="s">
        <v>535</v>
      </c>
      <c r="C183" t="s">
        <v>536</v>
      </c>
      <c r="D183" t="s">
        <v>537</v>
      </c>
      <c r="E183" t="s">
        <v>477</v>
      </c>
      <c r="F183" t="s">
        <v>538</v>
      </c>
      <c r="G183" t="s">
        <v>141</v>
      </c>
      <c r="H183" t="s">
        <v>10</v>
      </c>
      <c r="I183">
        <v>0</v>
      </c>
      <c r="J183" t="s">
        <v>473</v>
      </c>
      <c r="K183" s="9">
        <v>14.916</v>
      </c>
      <c r="L183" s="9">
        <v>6.26</v>
      </c>
      <c r="M183" s="9">
        <v>5.503</v>
      </c>
      <c r="N183" t="s">
        <v>14</v>
      </c>
      <c r="O183" s="9">
        <v>1.14</v>
      </c>
      <c r="S183" s="7">
        <v>68.01000000000001</v>
      </c>
      <c r="T183" s="7">
        <v>41.97</v>
      </c>
      <c r="X183" s="10" t="s">
        <v>428</v>
      </c>
      <c r="Y183" s="11" t="s">
        <v>576</v>
      </c>
      <c r="Z183" t="s">
        <v>430</v>
      </c>
    </row>
    <row r="184" spans="1:26">
      <c r="A184">
        <v>484</v>
      </c>
      <c r="B184" t="s">
        <v>535</v>
      </c>
      <c r="C184" t="s">
        <v>536</v>
      </c>
      <c r="D184" t="s">
        <v>537</v>
      </c>
      <c r="E184" t="s">
        <v>477</v>
      </c>
      <c r="F184" t="s">
        <v>538</v>
      </c>
      <c r="G184" t="s">
        <v>146</v>
      </c>
      <c r="H184" t="s">
        <v>10</v>
      </c>
      <c r="I184">
        <v>0</v>
      </c>
      <c r="J184" t="s">
        <v>577</v>
      </c>
      <c r="K184" s="9">
        <v>15.004</v>
      </c>
      <c r="L184" s="9">
        <v>5.829</v>
      </c>
      <c r="M184" s="9">
        <v>4.965</v>
      </c>
      <c r="N184" t="s">
        <v>14</v>
      </c>
      <c r="O184" s="9">
        <v>1.03</v>
      </c>
      <c r="S184" s="7">
        <v>67.95999999999999</v>
      </c>
      <c r="T184" s="7">
        <v>38.85</v>
      </c>
      <c r="X184" s="10" t="s">
        <v>428</v>
      </c>
      <c r="Y184" s="11" t="s">
        <v>578</v>
      </c>
      <c r="Z184" t="s">
        <v>430</v>
      </c>
    </row>
    <row r="185" spans="1:26">
      <c r="A185">
        <v>485</v>
      </c>
      <c r="B185" t="s">
        <v>535</v>
      </c>
      <c r="C185" t="s">
        <v>536</v>
      </c>
      <c r="D185" t="s">
        <v>537</v>
      </c>
      <c r="E185" t="s">
        <v>477</v>
      </c>
      <c r="F185" t="s">
        <v>538</v>
      </c>
      <c r="G185" t="s">
        <v>472</v>
      </c>
      <c r="H185" t="s">
        <v>10</v>
      </c>
      <c r="I185">
        <v>0</v>
      </c>
      <c r="J185" t="s">
        <v>579</v>
      </c>
      <c r="K185" s="9">
        <v>15.952</v>
      </c>
      <c r="L185" s="9">
        <v>5.887</v>
      </c>
      <c r="M185" s="9">
        <v>4.14</v>
      </c>
      <c r="N185" t="s">
        <v>14</v>
      </c>
      <c r="O185" s="9">
        <v>0.85</v>
      </c>
      <c r="S185" s="7">
        <v>67.09999999999999</v>
      </c>
      <c r="T185" s="7">
        <v>36.9</v>
      </c>
      <c r="X185" s="10" t="s">
        <v>428</v>
      </c>
      <c r="Y185" s="11" t="s">
        <v>580</v>
      </c>
      <c r="Z185" t="s">
        <v>430</v>
      </c>
    </row>
    <row r="186" spans="1:26">
      <c r="A186">
        <v>486</v>
      </c>
      <c r="B186" t="s">
        <v>535</v>
      </c>
      <c r="C186" t="s">
        <v>536</v>
      </c>
      <c r="D186" t="s">
        <v>537</v>
      </c>
      <c r="E186" t="s">
        <v>477</v>
      </c>
      <c r="F186" t="s">
        <v>538</v>
      </c>
      <c r="G186" t="s">
        <v>475</v>
      </c>
      <c r="H186" t="s">
        <v>10</v>
      </c>
      <c r="I186">
        <v>0</v>
      </c>
      <c r="J186" t="s">
        <v>569</v>
      </c>
      <c r="K186" s="9">
        <v>18.015</v>
      </c>
      <c r="L186" s="9">
        <v>7.508</v>
      </c>
      <c r="M186" s="9">
        <v>8.518000000000001</v>
      </c>
      <c r="N186" t="s">
        <v>14</v>
      </c>
      <c r="S186" s="7">
        <v>67.98999999999999</v>
      </c>
      <c r="T186" s="7">
        <v>41.68</v>
      </c>
      <c r="X186" s="10" t="s">
        <v>483</v>
      </c>
      <c r="Y186" s="11" t="s">
        <v>570</v>
      </c>
      <c r="Z186" t="s">
        <v>430</v>
      </c>
    </row>
    <row r="187" spans="1:26">
      <c r="A187">
        <v>487</v>
      </c>
      <c r="B187" t="s">
        <v>535</v>
      </c>
      <c r="C187" t="s">
        <v>536</v>
      </c>
      <c r="D187" t="s">
        <v>537</v>
      </c>
      <c r="E187" t="s">
        <v>477</v>
      </c>
      <c r="F187" t="s">
        <v>538</v>
      </c>
      <c r="G187" t="s">
        <v>150</v>
      </c>
      <c r="H187" t="s">
        <v>10</v>
      </c>
      <c r="I187">
        <v>0</v>
      </c>
      <c r="J187" t="s">
        <v>473</v>
      </c>
      <c r="K187" s="9">
        <v>19.311</v>
      </c>
      <c r="L187" s="9">
        <v>8.563000000000001</v>
      </c>
      <c r="M187" s="9">
        <v>7.349</v>
      </c>
      <c r="N187" t="s">
        <v>14</v>
      </c>
      <c r="O187" s="9">
        <v>1.5</v>
      </c>
      <c r="S187" s="7">
        <v>68.13</v>
      </c>
      <c r="T187" s="7">
        <v>44.34</v>
      </c>
      <c r="X187" s="10" t="s">
        <v>428</v>
      </c>
      <c r="Y187" s="11" t="s">
        <v>576</v>
      </c>
      <c r="Z187" t="s">
        <v>430</v>
      </c>
    </row>
    <row r="188" spans="1:26">
      <c r="A188">
        <v>488</v>
      </c>
      <c r="B188" t="s">
        <v>535</v>
      </c>
      <c r="C188" t="s">
        <v>536</v>
      </c>
      <c r="D188" t="s">
        <v>537</v>
      </c>
      <c r="E188" t="s">
        <v>477</v>
      </c>
      <c r="F188" t="s">
        <v>538</v>
      </c>
      <c r="G188" t="s">
        <v>155</v>
      </c>
      <c r="H188" t="s">
        <v>10</v>
      </c>
      <c r="I188">
        <v>0</v>
      </c>
      <c r="J188" t="s">
        <v>577</v>
      </c>
      <c r="K188" s="9">
        <v>22.187</v>
      </c>
      <c r="L188" s="9">
        <v>10.788</v>
      </c>
      <c r="M188" s="9">
        <v>9.31</v>
      </c>
      <c r="N188" t="s">
        <v>14</v>
      </c>
      <c r="O188" s="9">
        <v>1.91</v>
      </c>
      <c r="S188" s="7">
        <v>69.48</v>
      </c>
      <c r="T188" s="7">
        <v>48.62</v>
      </c>
      <c r="X188" s="10" t="s">
        <v>428</v>
      </c>
      <c r="Y188" s="11" t="s">
        <v>578</v>
      </c>
      <c r="Z188" t="s">
        <v>430</v>
      </c>
    </row>
    <row r="189" spans="1:26">
      <c r="A189">
        <v>298</v>
      </c>
      <c r="B189" t="s">
        <v>581</v>
      </c>
      <c r="C189" t="s">
        <v>582</v>
      </c>
      <c r="D189" t="s">
        <v>583</v>
      </c>
      <c r="E189" t="s">
        <v>477</v>
      </c>
      <c r="F189" t="s">
        <v>584</v>
      </c>
      <c r="G189" t="s">
        <v>50</v>
      </c>
      <c r="H189" t="s">
        <v>10</v>
      </c>
      <c r="I189">
        <v>0</v>
      </c>
      <c r="J189" t="s">
        <v>585</v>
      </c>
      <c r="K189" s="9">
        <v>19.828</v>
      </c>
      <c r="L189" s="9">
        <v>7.038</v>
      </c>
      <c r="M189" s="9">
        <v>5.661</v>
      </c>
      <c r="N189" t="s">
        <v>14</v>
      </c>
      <c r="O189" s="9">
        <v>1.31</v>
      </c>
      <c r="S189" s="7">
        <v>60.6</v>
      </c>
      <c r="T189" s="7">
        <v>35.5</v>
      </c>
      <c r="X189" s="10" t="s">
        <v>428</v>
      </c>
      <c r="Y189" s="11" t="s">
        <v>586</v>
      </c>
      <c r="Z189" t="s">
        <v>522</v>
      </c>
    </row>
    <row r="190" spans="1:26">
      <c r="A190">
        <v>299</v>
      </c>
      <c r="B190" t="s">
        <v>581</v>
      </c>
      <c r="C190" t="s">
        <v>582</v>
      </c>
      <c r="D190" t="s">
        <v>583</v>
      </c>
      <c r="E190" t="s">
        <v>477</v>
      </c>
      <c r="F190" t="s">
        <v>584</v>
      </c>
      <c r="G190" t="s">
        <v>57</v>
      </c>
      <c r="H190" t="s">
        <v>10</v>
      </c>
      <c r="I190">
        <v>0</v>
      </c>
      <c r="J190" t="s">
        <v>587</v>
      </c>
      <c r="K190" s="9">
        <v>19.728</v>
      </c>
      <c r="L190" s="9">
        <v>5.697</v>
      </c>
      <c r="M190" s="9">
        <v>5.105</v>
      </c>
      <c r="N190" t="s">
        <v>14</v>
      </c>
      <c r="O190" s="9">
        <v>1.19</v>
      </c>
      <c r="S190" s="7">
        <v>53.26</v>
      </c>
      <c r="T190" s="7">
        <v>28.88</v>
      </c>
      <c r="X190" s="10" t="s">
        <v>428</v>
      </c>
      <c r="Y190" s="11" t="s">
        <v>588</v>
      </c>
      <c r="Z190" t="s">
        <v>522</v>
      </c>
    </row>
    <row r="191" spans="1:26">
      <c r="A191">
        <v>300</v>
      </c>
      <c r="B191" t="s">
        <v>581</v>
      </c>
      <c r="C191" t="s">
        <v>582</v>
      </c>
      <c r="D191" t="s">
        <v>583</v>
      </c>
      <c r="E191" t="s">
        <v>477</v>
      </c>
      <c r="F191" t="s">
        <v>584</v>
      </c>
      <c r="G191" t="s">
        <v>62</v>
      </c>
      <c r="H191" t="s">
        <v>10</v>
      </c>
      <c r="I191">
        <v>0</v>
      </c>
      <c r="J191" t="s">
        <v>589</v>
      </c>
      <c r="K191" s="9">
        <v>18.333</v>
      </c>
      <c r="L191" s="9">
        <v>5.059</v>
      </c>
      <c r="M191" s="9">
        <v>4.276</v>
      </c>
      <c r="N191" t="s">
        <v>14</v>
      </c>
      <c r="O191" s="9">
        <v>1.02</v>
      </c>
      <c r="S191" s="7">
        <v>53.13</v>
      </c>
      <c r="T191" s="7">
        <v>27.6</v>
      </c>
      <c r="X191" s="10" t="s">
        <v>428</v>
      </c>
      <c r="Y191" s="11" t="s">
        <v>590</v>
      </c>
      <c r="Z191" t="s">
        <v>522</v>
      </c>
    </row>
    <row r="192" spans="1:26">
      <c r="A192">
        <v>301</v>
      </c>
      <c r="B192" t="s">
        <v>581</v>
      </c>
      <c r="C192" t="s">
        <v>582</v>
      </c>
      <c r="D192" t="s">
        <v>583</v>
      </c>
      <c r="E192" t="s">
        <v>477</v>
      </c>
      <c r="F192" t="s">
        <v>584</v>
      </c>
      <c r="G192" t="s">
        <v>66</v>
      </c>
      <c r="H192" t="s">
        <v>10</v>
      </c>
      <c r="I192">
        <v>0</v>
      </c>
      <c r="J192" t="s">
        <v>591</v>
      </c>
      <c r="K192" s="9">
        <v>19.978</v>
      </c>
      <c r="L192" s="9">
        <v>5.884</v>
      </c>
      <c r="M192" s="9">
        <v>5.857</v>
      </c>
      <c r="N192" t="s">
        <v>14</v>
      </c>
      <c r="S192" s="7">
        <v>56.8</v>
      </c>
      <c r="T192" s="7">
        <v>29.45</v>
      </c>
      <c r="X192" s="10" t="s">
        <v>483</v>
      </c>
      <c r="Y192" s="11" t="s">
        <v>592</v>
      </c>
      <c r="Z192" t="s">
        <v>522</v>
      </c>
    </row>
    <row r="193" spans="1:26">
      <c r="A193">
        <v>302</v>
      </c>
      <c r="B193" t="s">
        <v>581</v>
      </c>
      <c r="C193" t="s">
        <v>582</v>
      </c>
      <c r="D193" t="s">
        <v>583</v>
      </c>
      <c r="E193" t="s">
        <v>477</v>
      </c>
      <c r="F193" t="s">
        <v>584</v>
      </c>
      <c r="G193" t="s">
        <v>71</v>
      </c>
      <c r="H193" t="s">
        <v>10</v>
      </c>
      <c r="I193">
        <v>0</v>
      </c>
      <c r="J193" t="s">
        <v>593</v>
      </c>
      <c r="K193" s="9">
        <v>19.673</v>
      </c>
      <c r="L193" s="9">
        <v>3.694</v>
      </c>
      <c r="M193" s="9">
        <v>3.361</v>
      </c>
      <c r="N193" t="s">
        <v>14</v>
      </c>
      <c r="O193" s="9">
        <v>0.82</v>
      </c>
      <c r="S193" s="7">
        <v>55.17</v>
      </c>
      <c r="T193" s="7">
        <v>18.78</v>
      </c>
      <c r="X193" s="10" t="s">
        <v>428</v>
      </c>
      <c r="Y193" s="11" t="s">
        <v>594</v>
      </c>
      <c r="Z193" t="s">
        <v>522</v>
      </c>
    </row>
    <row r="194" spans="1:26">
      <c r="A194">
        <v>303</v>
      </c>
      <c r="B194" t="s">
        <v>581</v>
      </c>
      <c r="C194" t="s">
        <v>582</v>
      </c>
      <c r="D194" t="s">
        <v>583</v>
      </c>
      <c r="E194" t="s">
        <v>477</v>
      </c>
      <c r="F194" t="s">
        <v>584</v>
      </c>
      <c r="G194" t="s">
        <v>75</v>
      </c>
      <c r="H194" t="s">
        <v>10</v>
      </c>
      <c r="I194">
        <v>0</v>
      </c>
      <c r="J194" t="s">
        <v>595</v>
      </c>
      <c r="K194" s="9">
        <v>19.631</v>
      </c>
      <c r="L194" s="9">
        <v>5.546</v>
      </c>
      <c r="M194" s="9">
        <v>5.061</v>
      </c>
      <c r="N194" t="s">
        <v>14</v>
      </c>
      <c r="O194" s="9">
        <v>1.24</v>
      </c>
      <c r="S194" s="7">
        <v>57.08</v>
      </c>
      <c r="T194" s="7">
        <v>28.25</v>
      </c>
      <c r="X194" s="10" t="s">
        <v>428</v>
      </c>
      <c r="Y194" s="11" t="s">
        <v>596</v>
      </c>
      <c r="Z194" t="s">
        <v>522</v>
      </c>
    </row>
    <row r="195" spans="1:26">
      <c r="A195">
        <v>304</v>
      </c>
      <c r="B195" t="s">
        <v>581</v>
      </c>
      <c r="C195" t="s">
        <v>582</v>
      </c>
      <c r="D195" t="s">
        <v>583</v>
      </c>
      <c r="E195" t="s">
        <v>477</v>
      </c>
      <c r="F195" t="s">
        <v>584</v>
      </c>
      <c r="G195" t="s">
        <v>80</v>
      </c>
      <c r="H195" t="s">
        <v>10</v>
      </c>
      <c r="I195">
        <v>0</v>
      </c>
      <c r="J195" t="s">
        <v>597</v>
      </c>
      <c r="K195" s="9">
        <v>19.192</v>
      </c>
      <c r="L195" s="9">
        <v>5.227</v>
      </c>
      <c r="M195" s="9">
        <v>6.823</v>
      </c>
      <c r="N195" t="s">
        <v>14</v>
      </c>
      <c r="O195" s="9">
        <v>1.67</v>
      </c>
      <c r="S195" s="7">
        <v>55.99</v>
      </c>
      <c r="T195" s="7">
        <v>27.24</v>
      </c>
      <c r="X195" s="10" t="s">
        <v>428</v>
      </c>
      <c r="Y195" s="11" t="s">
        <v>598</v>
      </c>
      <c r="Z195" t="s">
        <v>522</v>
      </c>
    </row>
    <row r="196" spans="1:26">
      <c r="A196">
        <v>305</v>
      </c>
      <c r="B196" t="s">
        <v>581</v>
      </c>
      <c r="C196" t="s">
        <v>582</v>
      </c>
      <c r="D196" t="s">
        <v>583</v>
      </c>
      <c r="E196" t="s">
        <v>477</v>
      </c>
      <c r="F196" t="s">
        <v>584</v>
      </c>
      <c r="G196" t="s">
        <v>85</v>
      </c>
      <c r="H196" t="s">
        <v>10</v>
      </c>
      <c r="I196">
        <v>0</v>
      </c>
      <c r="J196" t="s">
        <v>599</v>
      </c>
      <c r="K196" s="9">
        <v>20.528</v>
      </c>
      <c r="L196" s="9">
        <v>4.989</v>
      </c>
      <c r="M196" s="9">
        <v>4.623</v>
      </c>
      <c r="N196" t="s">
        <v>14</v>
      </c>
      <c r="S196" s="7">
        <v>53.63</v>
      </c>
      <c r="T196" s="7">
        <v>24.3</v>
      </c>
      <c r="X196" s="10" t="s">
        <v>483</v>
      </c>
      <c r="Y196" s="11" t="s">
        <v>600</v>
      </c>
      <c r="Z196" t="s">
        <v>522</v>
      </c>
    </row>
    <row r="197" spans="1:26">
      <c r="A197">
        <v>306</v>
      </c>
      <c r="B197" t="s">
        <v>581</v>
      </c>
      <c r="C197" t="s">
        <v>582</v>
      </c>
      <c r="D197" t="s">
        <v>583</v>
      </c>
      <c r="E197" t="s">
        <v>477</v>
      </c>
      <c r="F197" t="s">
        <v>584</v>
      </c>
      <c r="G197" t="s">
        <v>89</v>
      </c>
      <c r="H197" t="s">
        <v>10</v>
      </c>
      <c r="I197">
        <v>0</v>
      </c>
      <c r="J197" t="s">
        <v>601</v>
      </c>
      <c r="K197" s="9">
        <v>18.353</v>
      </c>
      <c r="L197" s="9">
        <v>4.341</v>
      </c>
      <c r="M197" s="9">
        <v>8.113</v>
      </c>
      <c r="N197" t="s">
        <v>14</v>
      </c>
      <c r="O197" s="9">
        <v>1.98</v>
      </c>
      <c r="S197" s="7">
        <v>50.37</v>
      </c>
      <c r="T197" s="7">
        <v>23.65</v>
      </c>
      <c r="X197" s="10" t="s">
        <v>428</v>
      </c>
      <c r="Y197" s="11" t="s">
        <v>602</v>
      </c>
      <c r="Z197" t="s">
        <v>522</v>
      </c>
    </row>
    <row r="198" spans="1:26">
      <c r="A198">
        <v>307</v>
      </c>
      <c r="B198" t="s">
        <v>581</v>
      </c>
      <c r="C198" t="s">
        <v>582</v>
      </c>
      <c r="D198" t="s">
        <v>583</v>
      </c>
      <c r="E198" t="s">
        <v>477</v>
      </c>
      <c r="F198" t="s">
        <v>584</v>
      </c>
      <c r="G198" t="s">
        <v>93</v>
      </c>
      <c r="H198" t="s">
        <v>10</v>
      </c>
      <c r="I198">
        <v>0</v>
      </c>
      <c r="J198" t="s">
        <v>603</v>
      </c>
      <c r="K198" s="9">
        <v>15.321</v>
      </c>
      <c r="L198" s="9">
        <v>-0.7</v>
      </c>
      <c r="M198" s="9">
        <v>-0.454</v>
      </c>
      <c r="N198" t="s">
        <v>14</v>
      </c>
      <c r="O198" s="9">
        <v>-0.11</v>
      </c>
      <c r="S198" s="7">
        <v>36.47</v>
      </c>
      <c r="T198" s="7">
        <v>-4.57</v>
      </c>
      <c r="X198" s="10" t="s">
        <v>428</v>
      </c>
      <c r="Y198" s="11" t="s">
        <v>604</v>
      </c>
      <c r="Z198" t="s">
        <v>522</v>
      </c>
    </row>
    <row r="199" spans="1:26">
      <c r="A199">
        <v>308</v>
      </c>
      <c r="B199" t="s">
        <v>581</v>
      </c>
      <c r="C199" t="s">
        <v>582</v>
      </c>
      <c r="D199" t="s">
        <v>583</v>
      </c>
      <c r="E199" t="s">
        <v>477</v>
      </c>
      <c r="F199" t="s">
        <v>584</v>
      </c>
      <c r="G199" t="s">
        <v>98</v>
      </c>
      <c r="H199" t="s">
        <v>10</v>
      </c>
      <c r="I199">
        <v>0</v>
      </c>
      <c r="J199" t="s">
        <v>605</v>
      </c>
      <c r="K199" s="9">
        <v>15.338</v>
      </c>
      <c r="L199" s="9">
        <v>-0.175</v>
      </c>
      <c r="M199" s="9">
        <v>1.019</v>
      </c>
      <c r="N199" t="s">
        <v>14</v>
      </c>
      <c r="O199" s="9">
        <v>0.25</v>
      </c>
      <c r="S199" s="7">
        <v>42.61</v>
      </c>
      <c r="T199" s="7">
        <v>-1.14</v>
      </c>
      <c r="X199" s="10" t="s">
        <v>428</v>
      </c>
      <c r="Y199" s="11" t="s">
        <v>606</v>
      </c>
      <c r="Z199" t="s">
        <v>522</v>
      </c>
    </row>
    <row r="200" spans="1:26">
      <c r="A200">
        <v>309</v>
      </c>
      <c r="B200" t="s">
        <v>581</v>
      </c>
      <c r="C200" t="s">
        <v>582</v>
      </c>
      <c r="D200" t="s">
        <v>583</v>
      </c>
      <c r="E200" t="s">
        <v>477</v>
      </c>
      <c r="F200" t="s">
        <v>584</v>
      </c>
      <c r="G200" t="s">
        <v>103</v>
      </c>
      <c r="H200" t="s">
        <v>10</v>
      </c>
      <c r="I200">
        <v>0</v>
      </c>
      <c r="J200" t="s">
        <v>607</v>
      </c>
      <c r="K200" s="9">
        <v>14.042</v>
      </c>
      <c r="L200" s="9">
        <v>-1.132</v>
      </c>
      <c r="M200" s="9">
        <v>-0.664</v>
      </c>
      <c r="N200" t="s">
        <v>14</v>
      </c>
      <c r="S200" s="7">
        <v>39.17</v>
      </c>
      <c r="T200" s="7">
        <v>-8.06</v>
      </c>
      <c r="X200" s="10" t="s">
        <v>483</v>
      </c>
      <c r="Y200" s="11" t="s">
        <v>608</v>
      </c>
      <c r="Z200" t="s">
        <v>522</v>
      </c>
    </row>
    <row r="201" spans="1:26">
      <c r="A201">
        <v>310</v>
      </c>
      <c r="B201" t="s">
        <v>581</v>
      </c>
      <c r="C201" t="s">
        <v>582</v>
      </c>
      <c r="D201" t="s">
        <v>583</v>
      </c>
      <c r="E201" t="s">
        <v>477</v>
      </c>
      <c r="F201" t="s">
        <v>584</v>
      </c>
      <c r="G201" t="s">
        <v>107</v>
      </c>
      <c r="H201" t="s">
        <v>10</v>
      </c>
      <c r="I201">
        <v>0</v>
      </c>
      <c r="J201" t="s">
        <v>609</v>
      </c>
      <c r="K201" s="9">
        <v>11.715</v>
      </c>
      <c r="L201" s="9">
        <v>-1.468</v>
      </c>
      <c r="M201" s="9">
        <v>-2.758</v>
      </c>
      <c r="N201" t="s">
        <v>14</v>
      </c>
      <c r="O201" s="9">
        <v>-0.66</v>
      </c>
      <c r="S201" s="7">
        <v>34.21</v>
      </c>
      <c r="T201" s="7">
        <v>-12.53</v>
      </c>
      <c r="X201" s="10" t="s">
        <v>428</v>
      </c>
      <c r="Y201" s="11" t="s">
        <v>610</v>
      </c>
      <c r="Z201" t="s">
        <v>522</v>
      </c>
    </row>
    <row r="202" spans="1:26">
      <c r="A202">
        <v>311</v>
      </c>
      <c r="B202" t="s">
        <v>581</v>
      </c>
      <c r="C202" t="s">
        <v>582</v>
      </c>
      <c r="D202" t="s">
        <v>583</v>
      </c>
      <c r="E202" t="s">
        <v>477</v>
      </c>
      <c r="F202" t="s">
        <v>584</v>
      </c>
      <c r="G202" t="s">
        <v>112</v>
      </c>
      <c r="H202" t="s">
        <v>10</v>
      </c>
      <c r="I202">
        <v>0</v>
      </c>
      <c r="J202" t="s">
        <v>611</v>
      </c>
      <c r="K202" s="9">
        <v>12.949</v>
      </c>
      <c r="L202" s="9">
        <v>-1.016</v>
      </c>
      <c r="M202" s="9">
        <v>1.481</v>
      </c>
      <c r="N202" t="s">
        <v>14</v>
      </c>
      <c r="O202" s="9">
        <v>0.35</v>
      </c>
      <c r="S202" s="7">
        <v>35.82</v>
      </c>
      <c r="T202" s="7">
        <v>-7.85</v>
      </c>
      <c r="X202" s="10" t="s">
        <v>428</v>
      </c>
      <c r="Y202" s="11" t="s">
        <v>612</v>
      </c>
      <c r="Z202" t="s">
        <v>522</v>
      </c>
    </row>
    <row r="203" spans="1:26">
      <c r="A203">
        <v>312</v>
      </c>
      <c r="B203" t="s">
        <v>581</v>
      </c>
      <c r="C203" t="s">
        <v>582</v>
      </c>
      <c r="D203" t="s">
        <v>583</v>
      </c>
      <c r="E203" t="s">
        <v>477</v>
      </c>
      <c r="F203" t="s">
        <v>584</v>
      </c>
      <c r="G203" t="s">
        <v>116</v>
      </c>
      <c r="H203" t="s">
        <v>10</v>
      </c>
      <c r="I203">
        <v>0</v>
      </c>
      <c r="J203" t="s">
        <v>613</v>
      </c>
      <c r="K203" s="9">
        <v>14.158</v>
      </c>
      <c r="L203" s="9">
        <v>-0.008</v>
      </c>
      <c r="M203" s="9">
        <v>0.297</v>
      </c>
      <c r="N203" t="s">
        <v>14</v>
      </c>
      <c r="O203" s="9">
        <v>0.07000000000000001</v>
      </c>
      <c r="S203" s="7">
        <v>42.51</v>
      </c>
      <c r="T203" s="7">
        <v>-0.06</v>
      </c>
      <c r="X203" s="10" t="s">
        <v>428</v>
      </c>
      <c r="Y203" s="11" t="s">
        <v>614</v>
      </c>
      <c r="Z203" t="s">
        <v>522</v>
      </c>
    </row>
    <row r="204" spans="1:26">
      <c r="A204">
        <v>313</v>
      </c>
      <c r="B204" t="s">
        <v>581</v>
      </c>
      <c r="C204" t="s">
        <v>582</v>
      </c>
      <c r="D204" t="s">
        <v>583</v>
      </c>
      <c r="E204" t="s">
        <v>477</v>
      </c>
      <c r="F204" t="s">
        <v>584</v>
      </c>
      <c r="G204" t="s">
        <v>120</v>
      </c>
      <c r="H204" t="s">
        <v>10</v>
      </c>
      <c r="I204">
        <v>0</v>
      </c>
      <c r="J204" t="s">
        <v>615</v>
      </c>
      <c r="K204" s="9">
        <v>15.406</v>
      </c>
      <c r="L204" s="9">
        <v>2.585</v>
      </c>
      <c r="M204" s="9">
        <v>2.669</v>
      </c>
      <c r="N204" t="s">
        <v>14</v>
      </c>
      <c r="S204" s="7">
        <v>45.74</v>
      </c>
      <c r="T204" s="7">
        <v>16.78</v>
      </c>
      <c r="X204" s="10" t="s">
        <v>483</v>
      </c>
      <c r="Y204" s="11" t="s">
        <v>616</v>
      </c>
      <c r="Z204" t="s">
        <v>522</v>
      </c>
    </row>
    <row r="205" spans="1:26">
      <c r="A205">
        <v>314</v>
      </c>
      <c r="B205" t="s">
        <v>581</v>
      </c>
      <c r="C205" t="s">
        <v>582</v>
      </c>
      <c r="D205" t="s">
        <v>583</v>
      </c>
      <c r="E205" t="s">
        <v>477</v>
      </c>
      <c r="F205" t="s">
        <v>584</v>
      </c>
      <c r="G205" t="s">
        <v>124</v>
      </c>
      <c r="H205" t="s">
        <v>10</v>
      </c>
      <c r="I205">
        <v>0</v>
      </c>
      <c r="J205" t="s">
        <v>617</v>
      </c>
      <c r="K205" s="9">
        <v>12.724</v>
      </c>
      <c r="L205" s="9">
        <v>-1.069</v>
      </c>
      <c r="M205" s="9">
        <v>-0.381</v>
      </c>
      <c r="N205" t="s">
        <v>14</v>
      </c>
      <c r="O205" s="9">
        <v>-0.09</v>
      </c>
      <c r="S205" s="7">
        <v>41</v>
      </c>
      <c r="T205" s="7">
        <v>-8.4</v>
      </c>
      <c r="X205" s="10" t="s">
        <v>428</v>
      </c>
      <c r="Y205" s="11" t="s">
        <v>618</v>
      </c>
      <c r="Z205" t="s">
        <v>522</v>
      </c>
    </row>
    <row r="206" spans="1:26">
      <c r="A206">
        <v>315</v>
      </c>
      <c r="B206" t="s">
        <v>581</v>
      </c>
      <c r="C206" t="s">
        <v>582</v>
      </c>
      <c r="D206" t="s">
        <v>583</v>
      </c>
      <c r="E206" t="s">
        <v>477</v>
      </c>
      <c r="F206" t="s">
        <v>584</v>
      </c>
      <c r="G206" t="s">
        <v>128</v>
      </c>
      <c r="H206" t="s">
        <v>10</v>
      </c>
      <c r="I206">
        <v>0</v>
      </c>
      <c r="J206" t="s">
        <v>619</v>
      </c>
      <c r="K206" s="9">
        <v>12.833</v>
      </c>
      <c r="L206" s="9">
        <v>-1.964</v>
      </c>
      <c r="M206" s="9">
        <v>-1.61</v>
      </c>
      <c r="N206" t="s">
        <v>14</v>
      </c>
      <c r="O206" s="9">
        <v>-0.38</v>
      </c>
      <c r="S206" s="7">
        <v>35.43</v>
      </c>
      <c r="T206" s="7">
        <v>-15.3</v>
      </c>
      <c r="X206" s="10" t="s">
        <v>428</v>
      </c>
      <c r="Y206" s="11" t="s">
        <v>620</v>
      </c>
      <c r="Z206" t="s">
        <v>522</v>
      </c>
    </row>
    <row r="207" spans="1:26">
      <c r="A207">
        <v>316</v>
      </c>
      <c r="B207" t="s">
        <v>581</v>
      </c>
      <c r="C207" t="s">
        <v>582</v>
      </c>
      <c r="D207" t="s">
        <v>583</v>
      </c>
      <c r="E207" t="s">
        <v>477</v>
      </c>
      <c r="F207" t="s">
        <v>584</v>
      </c>
      <c r="G207" t="s">
        <v>133</v>
      </c>
      <c r="H207" t="s">
        <v>10</v>
      </c>
      <c r="I207">
        <v>0</v>
      </c>
      <c r="J207" t="s">
        <v>621</v>
      </c>
      <c r="K207" s="9">
        <v>13.284</v>
      </c>
      <c r="L207" s="9">
        <v>-9.057</v>
      </c>
      <c r="M207" s="9">
        <v>-16.639</v>
      </c>
      <c r="N207" t="s">
        <v>14</v>
      </c>
      <c r="O207" s="9">
        <v>-3.88</v>
      </c>
      <c r="S207" s="7">
        <v>15.03</v>
      </c>
      <c r="T207" s="7">
        <v>-68.18000000000001</v>
      </c>
      <c r="X207" s="10" t="s">
        <v>428</v>
      </c>
      <c r="Y207" s="11" t="s">
        <v>622</v>
      </c>
      <c r="Z207" t="s">
        <v>522</v>
      </c>
    </row>
    <row r="208" spans="1:26">
      <c r="A208">
        <v>317</v>
      </c>
      <c r="B208" t="s">
        <v>581</v>
      </c>
      <c r="C208" t="s">
        <v>582</v>
      </c>
      <c r="D208" t="s">
        <v>583</v>
      </c>
      <c r="E208" t="s">
        <v>477</v>
      </c>
      <c r="F208" t="s">
        <v>584</v>
      </c>
      <c r="G208" t="s">
        <v>137</v>
      </c>
      <c r="H208" t="s">
        <v>10</v>
      </c>
      <c r="I208">
        <v>0</v>
      </c>
      <c r="J208" t="s">
        <v>615</v>
      </c>
      <c r="K208" s="9">
        <v>14.26</v>
      </c>
      <c r="L208" s="9">
        <v>0.412</v>
      </c>
      <c r="M208" s="9">
        <v>-0.126</v>
      </c>
      <c r="N208" t="s">
        <v>14</v>
      </c>
      <c r="S208" s="7">
        <v>39.16</v>
      </c>
      <c r="T208" s="7">
        <v>2.89</v>
      </c>
      <c r="X208" s="10" t="s">
        <v>483</v>
      </c>
      <c r="Y208" s="11" t="s">
        <v>616</v>
      </c>
      <c r="Z208" t="s">
        <v>522</v>
      </c>
    </row>
    <row r="209" spans="1:26">
      <c r="A209">
        <v>318</v>
      </c>
      <c r="B209" t="s">
        <v>581</v>
      </c>
      <c r="C209" t="s">
        <v>582</v>
      </c>
      <c r="D209" t="s">
        <v>583</v>
      </c>
      <c r="E209" t="s">
        <v>477</v>
      </c>
      <c r="F209" t="s">
        <v>584</v>
      </c>
      <c r="G209" t="s">
        <v>141</v>
      </c>
      <c r="H209" t="s">
        <v>10</v>
      </c>
      <c r="I209">
        <v>0</v>
      </c>
      <c r="J209" t="s">
        <v>623</v>
      </c>
      <c r="K209" s="9">
        <v>12.667</v>
      </c>
      <c r="L209" s="9">
        <v>-0.301</v>
      </c>
      <c r="M209" s="9">
        <v>-0.821</v>
      </c>
      <c r="N209" t="s">
        <v>14</v>
      </c>
      <c r="O209" s="9">
        <v>-0.19</v>
      </c>
      <c r="S209" s="7">
        <v>36.88</v>
      </c>
      <c r="T209" s="7">
        <v>-2.38</v>
      </c>
      <c r="X209" s="10" t="s">
        <v>428</v>
      </c>
      <c r="Y209" s="11" t="s">
        <v>624</v>
      </c>
      <c r="Z209" t="s">
        <v>522</v>
      </c>
    </row>
    <row r="210" spans="1:26">
      <c r="A210">
        <v>319</v>
      </c>
      <c r="B210" t="s">
        <v>581</v>
      </c>
      <c r="C210" t="s">
        <v>582</v>
      </c>
      <c r="D210" t="s">
        <v>583</v>
      </c>
      <c r="E210" t="s">
        <v>477</v>
      </c>
      <c r="F210" t="s">
        <v>584</v>
      </c>
      <c r="G210" t="s">
        <v>146</v>
      </c>
      <c r="H210" t="s">
        <v>10</v>
      </c>
      <c r="I210">
        <v>0</v>
      </c>
      <c r="J210" t="s">
        <v>625</v>
      </c>
      <c r="K210" s="9">
        <v>12.859</v>
      </c>
      <c r="L210" s="9">
        <v>-3.176</v>
      </c>
      <c r="M210" s="9">
        <v>-2.918</v>
      </c>
      <c r="N210" t="s">
        <v>14</v>
      </c>
      <c r="O210" s="9">
        <v>-0.67</v>
      </c>
      <c r="S210" s="7">
        <v>27.54</v>
      </c>
      <c r="T210" s="7">
        <v>-24.7</v>
      </c>
      <c r="X210" s="10" t="s">
        <v>428</v>
      </c>
      <c r="Y210" s="11" t="s">
        <v>626</v>
      </c>
      <c r="Z210" t="s">
        <v>522</v>
      </c>
    </row>
    <row r="211" spans="1:26">
      <c r="A211">
        <v>320</v>
      </c>
      <c r="B211" t="s">
        <v>581</v>
      </c>
      <c r="C211" t="s">
        <v>582</v>
      </c>
      <c r="D211" t="s">
        <v>583</v>
      </c>
      <c r="E211" t="s">
        <v>477</v>
      </c>
      <c r="F211" t="s">
        <v>584</v>
      </c>
      <c r="G211" t="s">
        <v>472</v>
      </c>
      <c r="H211" t="s">
        <v>10</v>
      </c>
      <c r="I211">
        <v>0</v>
      </c>
      <c r="J211" t="s">
        <v>621</v>
      </c>
      <c r="K211" s="9">
        <v>13.653</v>
      </c>
      <c r="L211" s="9">
        <v>0.6830000000000001</v>
      </c>
      <c r="M211" s="9">
        <v>4.063</v>
      </c>
      <c r="N211" t="s">
        <v>14</v>
      </c>
      <c r="O211" s="9">
        <v>0.9</v>
      </c>
      <c r="S211" s="7">
        <v>38.22</v>
      </c>
      <c r="T211" s="7">
        <v>5</v>
      </c>
      <c r="X211" s="10" t="s">
        <v>428</v>
      </c>
      <c r="Y211" s="11" t="s">
        <v>622</v>
      </c>
      <c r="Z211" t="s">
        <v>522</v>
      </c>
    </row>
    <row r="212" spans="1:26">
      <c r="A212">
        <v>321</v>
      </c>
      <c r="B212" t="s">
        <v>581</v>
      </c>
      <c r="C212" t="s">
        <v>582</v>
      </c>
      <c r="D212" t="s">
        <v>583</v>
      </c>
      <c r="E212" t="s">
        <v>477</v>
      </c>
      <c r="F212" t="s">
        <v>584</v>
      </c>
      <c r="G212" t="s">
        <v>475</v>
      </c>
      <c r="H212" t="s">
        <v>10</v>
      </c>
      <c r="I212">
        <v>0</v>
      </c>
      <c r="J212" t="s">
        <v>615</v>
      </c>
      <c r="K212" s="9">
        <v>13.674</v>
      </c>
      <c r="L212" s="9">
        <v>0.58</v>
      </c>
      <c r="M212" s="9">
        <v>-0.591</v>
      </c>
      <c r="N212" t="s">
        <v>14</v>
      </c>
      <c r="S212" s="7">
        <v>36.15</v>
      </c>
      <c r="T212" s="7">
        <v>4.24</v>
      </c>
      <c r="X212" s="10" t="s">
        <v>483</v>
      </c>
      <c r="Y212" s="11" t="s">
        <v>616</v>
      </c>
      <c r="Z212" t="s">
        <v>522</v>
      </c>
    </row>
    <row r="213" spans="1:26">
      <c r="A213">
        <v>322</v>
      </c>
      <c r="B213" t="s">
        <v>581</v>
      </c>
      <c r="C213" t="s">
        <v>582</v>
      </c>
      <c r="D213" t="s">
        <v>583</v>
      </c>
      <c r="E213" t="s">
        <v>477</v>
      </c>
      <c r="F213" t="s">
        <v>584</v>
      </c>
      <c r="G213" t="s">
        <v>150</v>
      </c>
      <c r="H213" t="s">
        <v>10</v>
      </c>
      <c r="I213">
        <v>0</v>
      </c>
      <c r="J213" t="s">
        <v>623</v>
      </c>
      <c r="K213" s="9">
        <v>13.577</v>
      </c>
      <c r="L213" s="9">
        <v>-3.136</v>
      </c>
      <c r="M213" s="9">
        <v>-3.728</v>
      </c>
      <c r="N213" t="s">
        <v>14</v>
      </c>
      <c r="O213" s="9">
        <v>-0.73</v>
      </c>
      <c r="S213" s="7">
        <v>39.38</v>
      </c>
      <c r="T213" s="7">
        <v>-23.1</v>
      </c>
      <c r="X213" s="10" t="s">
        <v>428</v>
      </c>
      <c r="Y213" s="11" t="s">
        <v>624</v>
      </c>
      <c r="Z213" t="s">
        <v>522</v>
      </c>
    </row>
    <row r="214" spans="1:26">
      <c r="A214">
        <v>323</v>
      </c>
      <c r="B214" t="s">
        <v>581</v>
      </c>
      <c r="C214" t="s">
        <v>582</v>
      </c>
      <c r="D214" t="s">
        <v>583</v>
      </c>
      <c r="E214" t="s">
        <v>477</v>
      </c>
      <c r="F214" t="s">
        <v>584</v>
      </c>
      <c r="G214" t="s">
        <v>155</v>
      </c>
      <c r="H214" t="s">
        <v>10</v>
      </c>
      <c r="I214">
        <v>0</v>
      </c>
      <c r="J214" t="s">
        <v>625</v>
      </c>
      <c r="K214" s="9">
        <v>16.128</v>
      </c>
      <c r="L214" s="9">
        <v>1.796</v>
      </c>
      <c r="M214" s="9">
        <v>-11.033</v>
      </c>
      <c r="N214" t="s">
        <v>14</v>
      </c>
      <c r="O214" s="9">
        <v>-2.16</v>
      </c>
      <c r="S214" s="7">
        <v>40.36</v>
      </c>
      <c r="T214" s="7">
        <v>11.14</v>
      </c>
      <c r="X214" s="10" t="s">
        <v>428</v>
      </c>
      <c r="Y214" s="11" t="s">
        <v>626</v>
      </c>
      <c r="Z214" t="s">
        <v>522</v>
      </c>
    </row>
    <row r="215" spans="1:26">
      <c r="A215">
        <v>1</v>
      </c>
      <c r="B215" t="s">
        <v>627</v>
      </c>
      <c r="C215" t="s">
        <v>628</v>
      </c>
      <c r="D215" t="s">
        <v>627</v>
      </c>
      <c r="E215" t="s">
        <v>477</v>
      </c>
      <c r="F215" t="s">
        <v>629</v>
      </c>
      <c r="G215" t="s">
        <v>50</v>
      </c>
      <c r="H215" t="s">
        <v>10</v>
      </c>
      <c r="I215">
        <v>0</v>
      </c>
      <c r="J215" t="s">
        <v>630</v>
      </c>
      <c r="K215" s="9">
        <v>3.08</v>
      </c>
      <c r="L215" s="9">
        <v>0.98</v>
      </c>
      <c r="M215" s="9">
        <v>0.92</v>
      </c>
      <c r="N215" t="s">
        <v>14</v>
      </c>
      <c r="O215" s="9">
        <v>0.45</v>
      </c>
      <c r="P215" s="9">
        <v>0.42</v>
      </c>
      <c r="Q215" s="9">
        <v>3.01</v>
      </c>
      <c r="R215" t="s">
        <v>59</v>
      </c>
      <c r="S215" s="7">
        <v>65.09999999999999</v>
      </c>
      <c r="V215" s="10" t="s">
        <v>631</v>
      </c>
      <c r="X215" s="10" t="s">
        <v>632</v>
      </c>
      <c r="Y215" s="10" t="s">
        <v>633</v>
      </c>
      <c r="Z215" t="s">
        <v>56</v>
      </c>
    </row>
    <row r="216" spans="1:26">
      <c r="A216">
        <v>2</v>
      </c>
      <c r="B216" t="s">
        <v>627</v>
      </c>
      <c r="C216" t="s">
        <v>628</v>
      </c>
      <c r="D216" t="s">
        <v>627</v>
      </c>
      <c r="E216" t="s">
        <v>477</v>
      </c>
      <c r="F216" t="s">
        <v>629</v>
      </c>
      <c r="G216" t="s">
        <v>57</v>
      </c>
      <c r="H216" t="s">
        <v>10</v>
      </c>
      <c r="I216">
        <v>0</v>
      </c>
      <c r="J216" t="s">
        <v>634</v>
      </c>
      <c r="K216" s="9">
        <v>3.87</v>
      </c>
      <c r="L216" s="9">
        <v>1.37</v>
      </c>
      <c r="M216" s="9">
        <v>1.3</v>
      </c>
      <c r="N216" t="s">
        <v>14</v>
      </c>
      <c r="O216" s="9">
        <v>0.55</v>
      </c>
      <c r="P216" s="9">
        <v>0.49</v>
      </c>
      <c r="Q216" s="9">
        <v>3.65</v>
      </c>
      <c r="R216" t="s">
        <v>59</v>
      </c>
      <c r="S216" s="7">
        <v>58.8</v>
      </c>
      <c r="V216" s="10" t="s">
        <v>635</v>
      </c>
      <c r="X216" s="10" t="s">
        <v>636</v>
      </c>
      <c r="Y216" s="10" t="s">
        <v>637</v>
      </c>
      <c r="Z216" t="s">
        <v>56</v>
      </c>
    </row>
    <row r="217" spans="1:26">
      <c r="A217">
        <v>3</v>
      </c>
      <c r="B217" t="s">
        <v>627</v>
      </c>
      <c r="C217" t="s">
        <v>628</v>
      </c>
      <c r="D217" t="s">
        <v>627</v>
      </c>
      <c r="E217" t="s">
        <v>477</v>
      </c>
      <c r="F217" t="s">
        <v>629</v>
      </c>
      <c r="G217" t="s">
        <v>62</v>
      </c>
      <c r="H217" t="s">
        <v>10</v>
      </c>
      <c r="I217">
        <v>0</v>
      </c>
      <c r="J217" t="s">
        <v>638</v>
      </c>
      <c r="K217" s="9">
        <v>4.73</v>
      </c>
      <c r="L217" s="9">
        <v>1.4</v>
      </c>
      <c r="M217" s="9">
        <v>1.34</v>
      </c>
      <c r="N217" t="s">
        <v>14</v>
      </c>
      <c r="O217" s="9">
        <v>0.73</v>
      </c>
      <c r="P217" s="9">
        <v>0.65</v>
      </c>
      <c r="Q217" s="9">
        <v>4.42</v>
      </c>
      <c r="R217" t="s">
        <v>59</v>
      </c>
      <c r="S217" s="7">
        <v>62.6</v>
      </c>
      <c r="V217" s="10" t="s">
        <v>639</v>
      </c>
      <c r="X217" s="10" t="s">
        <v>640</v>
      </c>
      <c r="Y217" s="10" t="s">
        <v>641</v>
      </c>
      <c r="Z217" t="s">
        <v>56</v>
      </c>
    </row>
    <row r="218" spans="1:26">
      <c r="A218">
        <v>4</v>
      </c>
      <c r="B218" t="s">
        <v>627</v>
      </c>
      <c r="C218" t="s">
        <v>628</v>
      </c>
      <c r="D218" t="s">
        <v>627</v>
      </c>
      <c r="E218" t="s">
        <v>477</v>
      </c>
      <c r="F218" t="s">
        <v>629</v>
      </c>
      <c r="G218" t="s">
        <v>66</v>
      </c>
      <c r="H218" t="s">
        <v>10</v>
      </c>
      <c r="I218">
        <v>0</v>
      </c>
      <c r="J218" t="s">
        <v>642</v>
      </c>
      <c r="K218" s="9">
        <v>5</v>
      </c>
      <c r="L218" s="9">
        <v>1.51</v>
      </c>
      <c r="M218" s="9">
        <v>1.46</v>
      </c>
      <c r="N218" t="s">
        <v>14</v>
      </c>
      <c r="O218" s="9">
        <v>0.78</v>
      </c>
      <c r="P218" s="9">
        <v>0.7</v>
      </c>
      <c r="Q218" s="9">
        <v>4.82</v>
      </c>
      <c r="R218" t="s">
        <v>59</v>
      </c>
      <c r="S218" s="7">
        <v>63.1</v>
      </c>
      <c r="V218" s="10" t="s">
        <v>643</v>
      </c>
      <c r="X218" s="10" t="s">
        <v>644</v>
      </c>
      <c r="Y218" s="10" t="s">
        <v>645</v>
      </c>
      <c r="Z218" t="s">
        <v>56</v>
      </c>
    </row>
    <row r="219" spans="1:26">
      <c r="A219">
        <v>5</v>
      </c>
      <c r="B219" t="s">
        <v>627</v>
      </c>
      <c r="C219" t="s">
        <v>628</v>
      </c>
      <c r="D219" t="s">
        <v>627</v>
      </c>
      <c r="E219" t="s">
        <v>477</v>
      </c>
      <c r="F219" t="s">
        <v>629</v>
      </c>
      <c r="G219" t="s">
        <v>71</v>
      </c>
      <c r="H219" t="s">
        <v>10</v>
      </c>
      <c r="I219">
        <v>0</v>
      </c>
      <c r="J219" t="s">
        <v>646</v>
      </c>
      <c r="K219" s="9">
        <v>5.66</v>
      </c>
      <c r="L219" s="9">
        <v>1.96</v>
      </c>
      <c r="M219" s="9">
        <v>1.91</v>
      </c>
      <c r="N219" t="s">
        <v>14</v>
      </c>
      <c r="O219" s="9">
        <v>0.91</v>
      </c>
      <c r="P219" s="9">
        <v>0.83</v>
      </c>
      <c r="Q219" s="9">
        <v>5.41</v>
      </c>
      <c r="R219" t="s">
        <v>59</v>
      </c>
      <c r="S219" s="7">
        <v>64.09999999999999</v>
      </c>
      <c r="V219" s="10" t="s">
        <v>647</v>
      </c>
      <c r="X219" s="10" t="s">
        <v>648</v>
      </c>
      <c r="Y219" s="10" t="s">
        <v>649</v>
      </c>
      <c r="Z219" t="s">
        <v>56</v>
      </c>
    </row>
    <row r="220" spans="1:26">
      <c r="A220">
        <v>6</v>
      </c>
      <c r="B220" t="s">
        <v>627</v>
      </c>
      <c r="C220" t="s">
        <v>628</v>
      </c>
      <c r="D220" t="s">
        <v>627</v>
      </c>
      <c r="E220" t="s">
        <v>477</v>
      </c>
      <c r="F220" t="s">
        <v>629</v>
      </c>
      <c r="G220" t="s">
        <v>75</v>
      </c>
      <c r="H220" t="s">
        <v>10</v>
      </c>
      <c r="I220">
        <v>0</v>
      </c>
      <c r="J220" t="s">
        <v>650</v>
      </c>
      <c r="K220" s="9">
        <v>6.51</v>
      </c>
      <c r="L220" s="9">
        <v>2.44</v>
      </c>
      <c r="M220" s="9">
        <v>2.37</v>
      </c>
      <c r="N220" t="s">
        <v>14</v>
      </c>
      <c r="O220" s="9">
        <v>1.04</v>
      </c>
      <c r="P220" s="9">
        <v>1.02</v>
      </c>
      <c r="Q220" s="9">
        <v>6.33</v>
      </c>
      <c r="R220" t="s">
        <v>59</v>
      </c>
      <c r="S220" s="7">
        <v>64.8</v>
      </c>
      <c r="V220" s="10" t="s">
        <v>651</v>
      </c>
      <c r="X220" s="10" t="s">
        <v>652</v>
      </c>
      <c r="Y220" s="10" t="s">
        <v>653</v>
      </c>
      <c r="Z220" t="s">
        <v>56</v>
      </c>
    </row>
    <row r="221" spans="1:26">
      <c r="A221">
        <v>7</v>
      </c>
      <c r="B221" t="s">
        <v>627</v>
      </c>
      <c r="C221" t="s">
        <v>628</v>
      </c>
      <c r="D221" t="s">
        <v>627</v>
      </c>
      <c r="E221" t="s">
        <v>477</v>
      </c>
      <c r="F221" t="s">
        <v>629</v>
      </c>
      <c r="G221" t="s">
        <v>80</v>
      </c>
      <c r="H221" t="s">
        <v>10</v>
      </c>
      <c r="I221">
        <v>0</v>
      </c>
      <c r="J221" t="s">
        <v>654</v>
      </c>
      <c r="K221" s="9">
        <v>7.1</v>
      </c>
      <c r="L221" s="9">
        <v>2.67</v>
      </c>
      <c r="M221" s="9">
        <v>2.46</v>
      </c>
      <c r="N221" t="s">
        <v>14</v>
      </c>
      <c r="O221" s="9">
        <v>1.17</v>
      </c>
      <c r="P221" s="9">
        <v>1.11</v>
      </c>
      <c r="Q221" s="9">
        <v>6.82</v>
      </c>
      <c r="R221" t="s">
        <v>59</v>
      </c>
      <c r="S221" s="7">
        <v>65.2</v>
      </c>
      <c r="V221" s="10" t="s">
        <v>655</v>
      </c>
      <c r="X221" s="10" t="s">
        <v>656</v>
      </c>
      <c r="Y221" s="10" t="s">
        <v>657</v>
      </c>
      <c r="Z221" t="s">
        <v>56</v>
      </c>
    </row>
    <row r="222" spans="1:26">
      <c r="A222">
        <v>8</v>
      </c>
      <c r="B222" t="s">
        <v>627</v>
      </c>
      <c r="C222" t="s">
        <v>628</v>
      </c>
      <c r="D222" t="s">
        <v>627</v>
      </c>
      <c r="E222" t="s">
        <v>477</v>
      </c>
      <c r="F222" t="s">
        <v>629</v>
      </c>
      <c r="G222" t="s">
        <v>85</v>
      </c>
      <c r="H222" t="s">
        <v>10</v>
      </c>
      <c r="I222">
        <v>0</v>
      </c>
      <c r="J222" t="s">
        <v>658</v>
      </c>
      <c r="K222" s="9">
        <v>7.64</v>
      </c>
      <c r="L222" s="9">
        <v>2.97</v>
      </c>
      <c r="M222" s="9">
        <v>3</v>
      </c>
      <c r="N222" t="s">
        <v>14</v>
      </c>
      <c r="O222" s="9">
        <v>1.32</v>
      </c>
      <c r="P222" s="9">
        <v>1.22</v>
      </c>
      <c r="Q222" s="9">
        <v>7.42</v>
      </c>
      <c r="R222" t="s">
        <v>59</v>
      </c>
      <c r="S222" s="7">
        <v>65.40000000000001</v>
      </c>
      <c r="V222" s="10" t="s">
        <v>659</v>
      </c>
      <c r="X222" s="10" t="s">
        <v>660</v>
      </c>
      <c r="Y222" s="10" t="s">
        <v>661</v>
      </c>
      <c r="Z222" t="s">
        <v>56</v>
      </c>
    </row>
    <row r="223" spans="1:26">
      <c r="A223">
        <v>9</v>
      </c>
      <c r="B223" t="s">
        <v>627</v>
      </c>
      <c r="C223" t="s">
        <v>628</v>
      </c>
      <c r="D223" t="s">
        <v>627</v>
      </c>
      <c r="E223" t="s">
        <v>477</v>
      </c>
      <c r="F223" t="s">
        <v>629</v>
      </c>
      <c r="G223" t="s">
        <v>89</v>
      </c>
      <c r="H223" t="s">
        <v>10</v>
      </c>
      <c r="I223">
        <v>0</v>
      </c>
      <c r="J223" t="s">
        <v>662</v>
      </c>
      <c r="K223" s="9">
        <v>8.289999999999999</v>
      </c>
      <c r="L223" s="9">
        <v>3.07</v>
      </c>
      <c r="M223" s="9">
        <v>1.62</v>
      </c>
      <c r="N223" t="s">
        <v>14</v>
      </c>
      <c r="O223" s="9">
        <v>1.36</v>
      </c>
      <c r="P223" s="9">
        <v>1.29</v>
      </c>
      <c r="Q223" s="9">
        <v>8.109999999999999</v>
      </c>
      <c r="R223" t="s">
        <v>59</v>
      </c>
      <c r="S223" s="7">
        <v>65.5</v>
      </c>
      <c r="V223" s="10" t="s">
        <v>663</v>
      </c>
      <c r="X223" s="10" t="s">
        <v>664</v>
      </c>
      <c r="Y223" s="10" t="s">
        <v>665</v>
      </c>
      <c r="Z223" t="s">
        <v>56</v>
      </c>
    </row>
    <row r="224" spans="1:26">
      <c r="A224">
        <v>10</v>
      </c>
      <c r="B224" t="s">
        <v>627</v>
      </c>
      <c r="C224" t="s">
        <v>628</v>
      </c>
      <c r="D224" t="s">
        <v>627</v>
      </c>
      <c r="E224" t="s">
        <v>477</v>
      </c>
      <c r="F224" t="s">
        <v>629</v>
      </c>
      <c r="G224" t="s">
        <v>93</v>
      </c>
      <c r="H224" t="s">
        <v>10</v>
      </c>
      <c r="I224">
        <v>0</v>
      </c>
      <c r="J224" t="s">
        <v>666</v>
      </c>
      <c r="K224" s="9">
        <v>6.7</v>
      </c>
      <c r="L224" s="9">
        <v>1.33</v>
      </c>
      <c r="M224" s="9">
        <v>0.66</v>
      </c>
      <c r="N224" t="s">
        <v>14</v>
      </c>
      <c r="O224" s="9">
        <v>0.51</v>
      </c>
      <c r="P224" s="9">
        <v>0.53</v>
      </c>
      <c r="Q224" s="9">
        <v>8.1</v>
      </c>
      <c r="R224" t="s">
        <v>52</v>
      </c>
      <c r="S224" s="7">
        <v>43.5</v>
      </c>
      <c r="V224" s="10" t="s">
        <v>667</v>
      </c>
      <c r="X224" s="10" t="s">
        <v>668</v>
      </c>
      <c r="Y224" s="10" t="s">
        <v>669</v>
      </c>
      <c r="Z224" t="s">
        <v>56</v>
      </c>
    </row>
    <row r="225" spans="1:26">
      <c r="A225">
        <v>11</v>
      </c>
      <c r="B225" t="s">
        <v>627</v>
      </c>
      <c r="C225" t="s">
        <v>628</v>
      </c>
      <c r="D225" t="s">
        <v>627</v>
      </c>
      <c r="E225" t="s">
        <v>477</v>
      </c>
      <c r="F225" t="s">
        <v>629</v>
      </c>
      <c r="G225" t="s">
        <v>98</v>
      </c>
      <c r="H225" t="s">
        <v>10</v>
      </c>
      <c r="I225">
        <v>0</v>
      </c>
      <c r="J225" t="s">
        <v>670</v>
      </c>
      <c r="K225" s="9">
        <v>5.93</v>
      </c>
      <c r="L225" s="9">
        <v>0.6</v>
      </c>
      <c r="M225" s="9">
        <v>0.68</v>
      </c>
      <c r="N225" t="s">
        <v>14</v>
      </c>
      <c r="O225" s="9">
        <v>0.58</v>
      </c>
      <c r="P225" s="9">
        <v>0.71</v>
      </c>
      <c r="Q225" s="9">
        <v>5.81</v>
      </c>
      <c r="R225" t="s">
        <v>52</v>
      </c>
      <c r="S225" s="7">
        <v>53.6</v>
      </c>
      <c r="V225" s="10" t="s">
        <v>671</v>
      </c>
      <c r="X225" s="10" t="s">
        <v>672</v>
      </c>
      <c r="Y225" s="10" t="s">
        <v>673</v>
      </c>
      <c r="Z225" t="s">
        <v>56</v>
      </c>
    </row>
    <row r="226" spans="1:26">
      <c r="A226">
        <v>12</v>
      </c>
      <c r="B226" t="s">
        <v>627</v>
      </c>
      <c r="C226" t="s">
        <v>628</v>
      </c>
      <c r="D226" t="s">
        <v>627</v>
      </c>
      <c r="E226" t="s">
        <v>477</v>
      </c>
      <c r="F226" t="s">
        <v>629</v>
      </c>
      <c r="G226" t="s">
        <v>103</v>
      </c>
      <c r="H226" t="s">
        <v>10</v>
      </c>
      <c r="I226">
        <v>0</v>
      </c>
      <c r="J226" t="s">
        <v>674</v>
      </c>
      <c r="K226" s="9">
        <v>6.05</v>
      </c>
      <c r="L226" s="9">
        <v>1.26</v>
      </c>
      <c r="M226" s="9">
        <v>1.41</v>
      </c>
      <c r="N226" t="s">
        <v>14</v>
      </c>
      <c r="O226" s="9">
        <v>0.88</v>
      </c>
      <c r="P226" s="9">
        <v>0.8100000000000001</v>
      </c>
      <c r="Q226" s="9">
        <v>6</v>
      </c>
      <c r="R226" t="s">
        <v>59</v>
      </c>
      <c r="S226" s="7">
        <v>63.3</v>
      </c>
      <c r="V226" s="10" t="s">
        <v>675</v>
      </c>
      <c r="X226" s="10" t="s">
        <v>676</v>
      </c>
      <c r="Y226" s="10" t="s">
        <v>677</v>
      </c>
      <c r="Z226" t="s">
        <v>56</v>
      </c>
    </row>
    <row r="227" spans="1:26">
      <c r="A227">
        <v>13</v>
      </c>
      <c r="B227" t="s">
        <v>627</v>
      </c>
      <c r="C227" t="s">
        <v>628</v>
      </c>
      <c r="D227" t="s">
        <v>627</v>
      </c>
      <c r="E227" t="s">
        <v>477</v>
      </c>
      <c r="F227" t="s">
        <v>629</v>
      </c>
      <c r="G227" t="s">
        <v>107</v>
      </c>
      <c r="H227" t="s">
        <v>10</v>
      </c>
      <c r="I227">
        <v>0</v>
      </c>
      <c r="J227" t="s">
        <v>678</v>
      </c>
      <c r="K227" s="9">
        <v>7.19</v>
      </c>
      <c r="L227" s="9">
        <v>2.14</v>
      </c>
      <c r="M227" s="9">
        <v>2.04</v>
      </c>
      <c r="N227" t="s">
        <v>14</v>
      </c>
      <c r="O227" s="9">
        <v>1.09</v>
      </c>
      <c r="P227" s="9">
        <v>0.92</v>
      </c>
      <c r="Q227" s="9">
        <v>6.52</v>
      </c>
      <c r="R227" t="s">
        <v>59</v>
      </c>
      <c r="S227" s="7">
        <v>64.59999999999999</v>
      </c>
      <c r="V227" s="10" t="s">
        <v>679</v>
      </c>
      <c r="X227" s="10" t="s">
        <v>680</v>
      </c>
      <c r="Y227" s="10" t="s">
        <v>681</v>
      </c>
      <c r="Z227" t="s">
        <v>56</v>
      </c>
    </row>
    <row r="228" spans="1:26">
      <c r="A228">
        <v>14</v>
      </c>
      <c r="B228" t="s">
        <v>627</v>
      </c>
      <c r="C228" t="s">
        <v>628</v>
      </c>
      <c r="D228" t="s">
        <v>627</v>
      </c>
      <c r="E228" t="s">
        <v>477</v>
      </c>
      <c r="F228" t="s">
        <v>629</v>
      </c>
      <c r="G228" t="s">
        <v>112</v>
      </c>
      <c r="H228" t="s">
        <v>10</v>
      </c>
      <c r="I228">
        <v>0</v>
      </c>
      <c r="J228" t="s">
        <v>682</v>
      </c>
      <c r="K228" s="9">
        <v>13.51</v>
      </c>
      <c r="L228" s="9">
        <v>6.8</v>
      </c>
      <c r="M228" s="9">
        <v>6.19</v>
      </c>
      <c r="N228" t="s">
        <v>14</v>
      </c>
      <c r="O228" s="9">
        <v>2.7</v>
      </c>
      <c r="P228" s="9">
        <v>2.08</v>
      </c>
      <c r="Q228" s="9">
        <v>11.04</v>
      </c>
      <c r="R228" t="s">
        <v>59</v>
      </c>
      <c r="S228" s="7">
        <v>70.09999999999999</v>
      </c>
      <c r="V228" s="10" t="s">
        <v>683</v>
      </c>
      <c r="X228" s="10" t="s">
        <v>684</v>
      </c>
      <c r="Y228" s="10" t="s">
        <v>685</v>
      </c>
      <c r="Z228" t="s">
        <v>56</v>
      </c>
    </row>
    <row r="229" spans="1:26">
      <c r="A229">
        <v>15</v>
      </c>
      <c r="B229" t="s">
        <v>627</v>
      </c>
      <c r="C229" t="s">
        <v>628</v>
      </c>
      <c r="D229" t="s">
        <v>627</v>
      </c>
      <c r="E229" t="s">
        <v>477</v>
      </c>
      <c r="F229" t="s">
        <v>629</v>
      </c>
      <c r="G229" t="s">
        <v>116</v>
      </c>
      <c r="H229" t="s">
        <v>10</v>
      </c>
      <c r="I229">
        <v>0</v>
      </c>
      <c r="J229" t="s">
        <v>686</v>
      </c>
      <c r="K229" s="9">
        <v>18.12</v>
      </c>
      <c r="L229" s="9">
        <v>10.42</v>
      </c>
      <c r="M229" s="9">
        <v>9.24</v>
      </c>
      <c r="N229" t="s">
        <v>14</v>
      </c>
      <c r="O229" s="9">
        <v>4.02</v>
      </c>
      <c r="P229" s="9">
        <v>3.37</v>
      </c>
      <c r="Q229" s="9">
        <v>16.11</v>
      </c>
      <c r="R229" t="s">
        <v>59</v>
      </c>
      <c r="S229" s="7">
        <v>74</v>
      </c>
      <c r="V229" s="10" t="s">
        <v>687</v>
      </c>
      <c r="X229" s="10" t="s">
        <v>688</v>
      </c>
      <c r="Y229" s="10" t="s">
        <v>689</v>
      </c>
      <c r="Z229" t="s">
        <v>56</v>
      </c>
    </row>
    <row r="230" spans="1:26">
      <c r="A230">
        <v>16</v>
      </c>
      <c r="B230" t="s">
        <v>627</v>
      </c>
      <c r="C230" t="s">
        <v>628</v>
      </c>
      <c r="D230" t="s">
        <v>627</v>
      </c>
      <c r="E230" t="s">
        <v>477</v>
      </c>
      <c r="F230" t="s">
        <v>629</v>
      </c>
      <c r="G230" t="s">
        <v>120</v>
      </c>
      <c r="H230" t="s">
        <v>10</v>
      </c>
      <c r="I230">
        <v>0</v>
      </c>
      <c r="J230" t="s">
        <v>690</v>
      </c>
      <c r="K230" s="9">
        <v>22.1</v>
      </c>
      <c r="L230" s="9">
        <v>13.62</v>
      </c>
      <c r="M230" s="9">
        <v>12.29</v>
      </c>
      <c r="N230" t="s">
        <v>14</v>
      </c>
      <c r="O230" s="9">
        <v>5.16</v>
      </c>
      <c r="P230" s="9">
        <v>4.64</v>
      </c>
      <c r="Q230" s="9">
        <v>20.41</v>
      </c>
      <c r="R230" t="s">
        <v>59</v>
      </c>
      <c r="S230" s="7">
        <v>76</v>
      </c>
      <c r="V230" s="10" t="s">
        <v>691</v>
      </c>
      <c r="X230" s="10" t="s">
        <v>692</v>
      </c>
      <c r="Y230" s="10" t="s">
        <v>693</v>
      </c>
      <c r="Z230" t="s">
        <v>56</v>
      </c>
    </row>
    <row r="231" spans="1:26">
      <c r="A231">
        <v>17</v>
      </c>
      <c r="B231" t="s">
        <v>627</v>
      </c>
      <c r="C231" t="s">
        <v>628</v>
      </c>
      <c r="D231" t="s">
        <v>627</v>
      </c>
      <c r="E231" t="s">
        <v>477</v>
      </c>
      <c r="F231" t="s">
        <v>629</v>
      </c>
      <c r="G231" t="s">
        <v>124</v>
      </c>
      <c r="H231" t="s">
        <v>10</v>
      </c>
      <c r="I231">
        <v>0</v>
      </c>
      <c r="J231" t="s">
        <v>694</v>
      </c>
      <c r="K231" s="9">
        <v>26.04</v>
      </c>
      <c r="L231" s="9">
        <v>16.91</v>
      </c>
      <c r="M231" s="9">
        <v>14.88</v>
      </c>
      <c r="N231" t="s">
        <v>14</v>
      </c>
      <c r="O231" s="9">
        <v>6.12</v>
      </c>
      <c r="P231" s="9">
        <v>5.59</v>
      </c>
      <c r="Q231" s="9">
        <v>24.65</v>
      </c>
      <c r="R231" t="s">
        <v>59</v>
      </c>
      <c r="S231" s="7">
        <v>78.40000000000001</v>
      </c>
      <c r="V231" s="10" t="s">
        <v>695</v>
      </c>
      <c r="X231" s="10" t="s">
        <v>696</v>
      </c>
      <c r="Y231" s="10" t="s">
        <v>697</v>
      </c>
      <c r="Z231" t="s">
        <v>56</v>
      </c>
    </row>
    <row r="232" spans="1:26">
      <c r="A232">
        <v>18</v>
      </c>
      <c r="B232" t="s">
        <v>627</v>
      </c>
      <c r="C232" t="s">
        <v>628</v>
      </c>
      <c r="D232" t="s">
        <v>627</v>
      </c>
      <c r="E232" t="s">
        <v>477</v>
      </c>
      <c r="F232" t="s">
        <v>629</v>
      </c>
      <c r="G232" t="s">
        <v>128</v>
      </c>
      <c r="H232" t="s">
        <v>10</v>
      </c>
      <c r="I232">
        <v>0</v>
      </c>
      <c r="J232" t="s">
        <v>698</v>
      </c>
      <c r="K232" s="9">
        <v>30.04</v>
      </c>
      <c r="L232" s="9">
        <v>18.64</v>
      </c>
      <c r="M232" s="9">
        <v>16.6</v>
      </c>
      <c r="N232" t="s">
        <v>14</v>
      </c>
      <c r="O232" s="9">
        <v>0.68</v>
      </c>
      <c r="P232" s="9">
        <v>0.64</v>
      </c>
      <c r="Q232" s="9">
        <v>28.7</v>
      </c>
      <c r="R232" t="s">
        <v>59</v>
      </c>
      <c r="S232" s="7">
        <v>75.09999999999999</v>
      </c>
      <c r="V232" s="10" t="s">
        <v>699</v>
      </c>
      <c r="X232" s="10" t="s">
        <v>700</v>
      </c>
      <c r="Y232" s="10" t="s">
        <v>701</v>
      </c>
      <c r="Z232" t="s">
        <v>56</v>
      </c>
    </row>
    <row r="233" spans="1:26">
      <c r="A233">
        <v>19</v>
      </c>
      <c r="B233" t="s">
        <v>627</v>
      </c>
      <c r="C233" t="s">
        <v>628</v>
      </c>
      <c r="D233" t="s">
        <v>627</v>
      </c>
      <c r="E233" t="s">
        <v>477</v>
      </c>
      <c r="F233" t="s">
        <v>629</v>
      </c>
      <c r="G233" t="s">
        <v>133</v>
      </c>
      <c r="H233" t="s">
        <v>10</v>
      </c>
      <c r="I233">
        <v>0</v>
      </c>
      <c r="J233" t="s">
        <v>702</v>
      </c>
      <c r="K233" s="9">
        <v>35.08</v>
      </c>
      <c r="L233" s="9">
        <v>21.87</v>
      </c>
      <c r="M233" s="9">
        <v>19.31</v>
      </c>
      <c r="N233" t="s">
        <v>14</v>
      </c>
      <c r="O233" s="9">
        <v>0.8100000000000001</v>
      </c>
      <c r="P233" s="9">
        <v>0.75</v>
      </c>
      <c r="Q233" s="9">
        <v>33.16</v>
      </c>
      <c r="R233" t="s">
        <v>59</v>
      </c>
      <c r="S233" s="7">
        <v>74.59999999999999</v>
      </c>
      <c r="V233" s="10" t="s">
        <v>699</v>
      </c>
      <c r="X233" s="10" t="s">
        <v>703</v>
      </c>
      <c r="Y233" s="10" t="s">
        <v>704</v>
      </c>
      <c r="Z233" t="s">
        <v>56</v>
      </c>
    </row>
    <row r="234" spans="1:26">
      <c r="A234">
        <v>20</v>
      </c>
      <c r="B234" t="s">
        <v>627</v>
      </c>
      <c r="C234" t="s">
        <v>628</v>
      </c>
      <c r="D234" t="s">
        <v>627</v>
      </c>
      <c r="E234" t="s">
        <v>477</v>
      </c>
      <c r="F234" t="s">
        <v>629</v>
      </c>
      <c r="G234" t="s">
        <v>137</v>
      </c>
      <c r="H234" t="s">
        <v>10</v>
      </c>
      <c r="I234">
        <v>0</v>
      </c>
      <c r="J234" t="s">
        <v>705</v>
      </c>
      <c r="K234" s="9">
        <v>39.33</v>
      </c>
      <c r="L234" s="9">
        <v>24.35</v>
      </c>
      <c r="M234" s="9">
        <v>22.09</v>
      </c>
      <c r="N234" t="s">
        <v>14</v>
      </c>
      <c r="O234" s="9">
        <v>0.89</v>
      </c>
      <c r="P234" s="9">
        <v>0.84</v>
      </c>
      <c r="Q234" s="9">
        <v>38.05</v>
      </c>
      <c r="R234" t="s">
        <v>59</v>
      </c>
      <c r="S234" s="7">
        <v>73</v>
      </c>
      <c r="V234" s="10" t="s">
        <v>706</v>
      </c>
      <c r="X234" s="10" t="s">
        <v>707</v>
      </c>
      <c r="Y234" s="10" t="s">
        <v>708</v>
      </c>
      <c r="Z234" t="s">
        <v>56</v>
      </c>
    </row>
    <row r="235" spans="1:26">
      <c r="A235">
        <v>21</v>
      </c>
      <c r="B235" t="s">
        <v>627</v>
      </c>
      <c r="C235" t="s">
        <v>628</v>
      </c>
      <c r="D235" t="s">
        <v>627</v>
      </c>
      <c r="E235" t="s">
        <v>477</v>
      </c>
      <c r="F235" t="s">
        <v>629</v>
      </c>
      <c r="G235" t="s">
        <v>141</v>
      </c>
      <c r="H235" t="s">
        <v>10</v>
      </c>
      <c r="I235">
        <v>0</v>
      </c>
      <c r="J235" t="s">
        <v>709</v>
      </c>
      <c r="K235" s="9">
        <v>44.06</v>
      </c>
      <c r="L235" s="9">
        <v>29.29</v>
      </c>
      <c r="M235" s="9">
        <v>24.78</v>
      </c>
      <c r="N235" t="s">
        <v>14</v>
      </c>
      <c r="O235" s="9">
        <v>1.09</v>
      </c>
      <c r="P235" s="9">
        <v>1</v>
      </c>
      <c r="Q235" s="9">
        <v>43.28</v>
      </c>
      <c r="R235" t="s">
        <v>59</v>
      </c>
      <c r="S235" s="7">
        <v>73.5</v>
      </c>
      <c r="V235" s="10" t="s">
        <v>710</v>
      </c>
      <c r="X235" s="10" t="s">
        <v>711</v>
      </c>
      <c r="Y235" s="10" t="s">
        <v>712</v>
      </c>
      <c r="Z235" t="s">
        <v>56</v>
      </c>
    </row>
    <row r="236" spans="1:26">
      <c r="A236">
        <v>22</v>
      </c>
      <c r="B236" t="s">
        <v>627</v>
      </c>
      <c r="C236" t="s">
        <v>628</v>
      </c>
      <c r="D236" t="s">
        <v>627</v>
      </c>
      <c r="E236" t="s">
        <v>477</v>
      </c>
      <c r="F236" t="s">
        <v>629</v>
      </c>
      <c r="G236" t="s">
        <v>146</v>
      </c>
      <c r="H236" t="s">
        <v>10</v>
      </c>
      <c r="I236">
        <v>0</v>
      </c>
      <c r="J236" t="s">
        <v>713</v>
      </c>
      <c r="K236" s="9">
        <v>46.743</v>
      </c>
      <c r="L236" s="9">
        <v>28.44</v>
      </c>
      <c r="M236" s="9">
        <v>26.422</v>
      </c>
      <c r="N236" t="s">
        <v>14</v>
      </c>
      <c r="O236" s="9">
        <v>1.08</v>
      </c>
      <c r="P236" s="9">
        <v>1.14</v>
      </c>
      <c r="Q236" s="9">
        <v>49.93</v>
      </c>
      <c r="R236" t="s">
        <v>59</v>
      </c>
      <c r="S236" s="7">
        <v>72.40000000000001</v>
      </c>
      <c r="T236" s="7">
        <v>60.8</v>
      </c>
      <c r="V236" s="10" t="s">
        <v>714</v>
      </c>
      <c r="X236" s="10" t="s">
        <v>715</v>
      </c>
      <c r="Y236" s="10" t="s">
        <v>716</v>
      </c>
      <c r="Z236" t="s">
        <v>56</v>
      </c>
    </row>
    <row r="237" spans="1:26">
      <c r="A237">
        <v>23</v>
      </c>
      <c r="B237" t="s">
        <v>627</v>
      </c>
      <c r="C237" t="s">
        <v>628</v>
      </c>
      <c r="D237" t="s">
        <v>627</v>
      </c>
      <c r="E237" t="s">
        <v>477</v>
      </c>
      <c r="F237" t="s">
        <v>629</v>
      </c>
      <c r="G237" t="s">
        <v>150</v>
      </c>
      <c r="H237" t="s">
        <v>10</v>
      </c>
      <c r="I237">
        <v>0</v>
      </c>
      <c r="J237" t="s">
        <v>717</v>
      </c>
      <c r="K237" s="9">
        <v>57</v>
      </c>
      <c r="L237" s="9">
        <v>37.5</v>
      </c>
      <c r="M237" s="9">
        <v>32</v>
      </c>
      <c r="N237" t="s">
        <v>14</v>
      </c>
      <c r="O237" s="9">
        <v>1.38</v>
      </c>
      <c r="P237" s="9">
        <v>1.3</v>
      </c>
      <c r="Q237" s="9">
        <v>55.5</v>
      </c>
      <c r="R237" t="s">
        <v>59</v>
      </c>
      <c r="S237" s="7">
        <v>74</v>
      </c>
      <c r="V237" s="10" t="s">
        <v>718</v>
      </c>
      <c r="X237" s="10" t="s">
        <v>719</v>
      </c>
      <c r="Y237" s="10" t="s">
        <v>720</v>
      </c>
      <c r="Z237" t="s">
        <v>56</v>
      </c>
    </row>
    <row r="238" spans="1:26">
      <c r="A238">
        <v>24</v>
      </c>
      <c r="B238" t="s">
        <v>627</v>
      </c>
      <c r="C238" t="s">
        <v>628</v>
      </c>
      <c r="D238" t="s">
        <v>627</v>
      </c>
      <c r="E238" t="s">
        <v>477</v>
      </c>
      <c r="F238" t="s">
        <v>629</v>
      </c>
      <c r="G238" t="s">
        <v>155</v>
      </c>
      <c r="H238" t="s">
        <v>10</v>
      </c>
      <c r="I238">
        <v>0</v>
      </c>
      <c r="J238" t="s">
        <v>721</v>
      </c>
      <c r="K238" s="9">
        <v>96.221</v>
      </c>
      <c r="L238" s="9">
        <v>63.734</v>
      </c>
      <c r="M238" s="9">
        <v>59.688</v>
      </c>
      <c r="N238" t="s">
        <v>14</v>
      </c>
      <c r="O238" s="9">
        <v>2.46</v>
      </c>
      <c r="P238" s="9">
        <v>1.42</v>
      </c>
      <c r="Q238" s="9">
        <v>60.5</v>
      </c>
      <c r="R238" t="s">
        <v>59</v>
      </c>
      <c r="S238" s="7">
        <v>75</v>
      </c>
      <c r="T238" s="7">
        <v>66.2</v>
      </c>
      <c r="V238" s="10" t="s">
        <v>722</v>
      </c>
      <c r="X238" s="10" t="s">
        <v>723</v>
      </c>
      <c r="Y238" s="10" t="s">
        <v>724</v>
      </c>
      <c r="Z238" t="s">
        <v>56</v>
      </c>
    </row>
    <row r="239" spans="1:26">
      <c r="A239">
        <v>209</v>
      </c>
      <c r="B239" t="s">
        <v>730</v>
      </c>
      <c r="C239" t="s">
        <v>731</v>
      </c>
      <c r="D239" t="s">
        <v>732</v>
      </c>
      <c r="E239" t="s">
        <v>733</v>
      </c>
      <c r="F239" t="s">
        <v>734</v>
      </c>
      <c r="G239" t="s">
        <v>50</v>
      </c>
      <c r="H239" t="s">
        <v>10</v>
      </c>
      <c r="I239">
        <v>0</v>
      </c>
      <c r="J239" t="s">
        <v>735</v>
      </c>
      <c r="K239" s="9">
        <v>1.152616</v>
      </c>
      <c r="L239" s="9">
        <v>0.08407299999999999</v>
      </c>
      <c r="M239" s="9">
        <v>0.063889</v>
      </c>
      <c r="N239" t="s">
        <v>14</v>
      </c>
      <c r="O239" s="9">
        <v>0.26</v>
      </c>
      <c r="S239" s="7">
        <v>16.39</v>
      </c>
      <c r="T239" s="7">
        <v>7.29</v>
      </c>
      <c r="X239" s="10" t="s">
        <v>428</v>
      </c>
      <c r="Y239" s="11" t="s">
        <v>736</v>
      </c>
      <c r="Z239" t="s">
        <v>522</v>
      </c>
    </row>
    <row r="240" spans="1:26">
      <c r="A240">
        <v>210</v>
      </c>
      <c r="B240" t="s">
        <v>730</v>
      </c>
      <c r="C240" t="s">
        <v>731</v>
      </c>
      <c r="D240" t="s">
        <v>732</v>
      </c>
      <c r="E240" t="s">
        <v>733</v>
      </c>
      <c r="F240" t="s">
        <v>734</v>
      </c>
      <c r="G240" t="s">
        <v>57</v>
      </c>
      <c r="H240" t="s">
        <v>10</v>
      </c>
      <c r="I240">
        <v>0</v>
      </c>
      <c r="J240" t="s">
        <v>737</v>
      </c>
      <c r="K240" s="9">
        <v>1.172909</v>
      </c>
      <c r="L240" s="9">
        <v>0.086524</v>
      </c>
      <c r="M240" s="9">
        <v>0.055424</v>
      </c>
      <c r="N240" t="s">
        <v>14</v>
      </c>
      <c r="O240" s="9">
        <v>0.23</v>
      </c>
      <c r="S240" s="7">
        <v>16.4</v>
      </c>
      <c r="T240" s="7">
        <v>7.38</v>
      </c>
      <c r="X240" s="10" t="s">
        <v>428</v>
      </c>
      <c r="Y240" s="11" t="s">
        <v>738</v>
      </c>
      <c r="Z240" t="s">
        <v>522</v>
      </c>
    </row>
    <row r="241" spans="1:26">
      <c r="A241">
        <v>211</v>
      </c>
      <c r="B241" t="s">
        <v>730</v>
      </c>
      <c r="C241" t="s">
        <v>731</v>
      </c>
      <c r="D241" t="s">
        <v>732</v>
      </c>
      <c r="E241" t="s">
        <v>733</v>
      </c>
      <c r="F241" t="s">
        <v>734</v>
      </c>
      <c r="G241" t="s">
        <v>62</v>
      </c>
      <c r="H241" t="s">
        <v>10</v>
      </c>
      <c r="I241">
        <v>0</v>
      </c>
      <c r="J241" t="s">
        <v>739</v>
      </c>
      <c r="K241" s="9">
        <v>1.354023</v>
      </c>
      <c r="L241" s="9">
        <v>0.127469</v>
      </c>
      <c r="M241" s="9">
        <v>0.092151</v>
      </c>
      <c r="N241" t="s">
        <v>14</v>
      </c>
      <c r="O241" s="9">
        <v>0.38</v>
      </c>
      <c r="S241" s="7">
        <v>17.81</v>
      </c>
      <c r="T241" s="7">
        <v>9.41</v>
      </c>
      <c r="X241" s="10" t="s">
        <v>428</v>
      </c>
      <c r="Y241" s="11" t="s">
        <v>740</v>
      </c>
      <c r="Z241" t="s">
        <v>522</v>
      </c>
    </row>
    <row r="242" spans="1:26">
      <c r="A242">
        <v>212</v>
      </c>
      <c r="B242" t="s">
        <v>730</v>
      </c>
      <c r="C242" t="s">
        <v>731</v>
      </c>
      <c r="D242" t="s">
        <v>732</v>
      </c>
      <c r="E242" t="s">
        <v>733</v>
      </c>
      <c r="F242" t="s">
        <v>734</v>
      </c>
      <c r="G242" t="s">
        <v>66</v>
      </c>
      <c r="H242" t="s">
        <v>10</v>
      </c>
      <c r="I242">
        <v>0</v>
      </c>
      <c r="J242" t="s">
        <v>674</v>
      </c>
      <c r="K242" s="9">
        <v>1.371041</v>
      </c>
      <c r="L242" s="9">
        <v>0.159179</v>
      </c>
      <c r="M242" s="9">
        <v>0.126674</v>
      </c>
      <c r="N242" t="s">
        <v>14</v>
      </c>
      <c r="S242" s="7">
        <v>20.31</v>
      </c>
      <c r="T242" s="7">
        <v>11.61</v>
      </c>
      <c r="X242" s="10" t="s">
        <v>483</v>
      </c>
      <c r="Y242" s="11" t="s">
        <v>741</v>
      </c>
      <c r="Z242" t="s">
        <v>522</v>
      </c>
    </row>
    <row r="243" spans="1:26">
      <c r="A243">
        <v>213</v>
      </c>
      <c r="B243" t="s">
        <v>730</v>
      </c>
      <c r="C243" t="s">
        <v>731</v>
      </c>
      <c r="D243" t="s">
        <v>732</v>
      </c>
      <c r="E243" t="s">
        <v>733</v>
      </c>
      <c r="F243" t="s">
        <v>734</v>
      </c>
      <c r="G243" t="s">
        <v>71</v>
      </c>
      <c r="H243" t="s">
        <v>10</v>
      </c>
      <c r="I243">
        <v>0</v>
      </c>
      <c r="J243" t="s">
        <v>742</v>
      </c>
      <c r="K243" s="9">
        <v>1.32615</v>
      </c>
      <c r="L243" s="9">
        <v>0.144448</v>
      </c>
      <c r="M243" s="9">
        <v>0.119809</v>
      </c>
      <c r="N243" t="s">
        <v>14</v>
      </c>
      <c r="O243" s="9">
        <v>0.49</v>
      </c>
      <c r="S243" s="7">
        <v>20.02</v>
      </c>
      <c r="T243" s="7">
        <v>10.89</v>
      </c>
      <c r="X243" s="10" t="s">
        <v>428</v>
      </c>
      <c r="Y243" s="11" t="s">
        <v>743</v>
      </c>
      <c r="Z243" t="s">
        <v>522</v>
      </c>
    </row>
    <row r="244" spans="1:26">
      <c r="A244">
        <v>214</v>
      </c>
      <c r="B244" t="s">
        <v>730</v>
      </c>
      <c r="C244" t="s">
        <v>731</v>
      </c>
      <c r="D244" t="s">
        <v>732</v>
      </c>
      <c r="E244" t="s">
        <v>733</v>
      </c>
      <c r="F244" t="s">
        <v>734</v>
      </c>
      <c r="G244" t="s">
        <v>75</v>
      </c>
      <c r="H244" t="s">
        <v>10</v>
      </c>
      <c r="I244">
        <v>0</v>
      </c>
      <c r="J244" t="s">
        <v>744</v>
      </c>
      <c r="K244" s="9">
        <v>1.406535</v>
      </c>
      <c r="L244" s="9">
        <v>0.155115</v>
      </c>
      <c r="M244" s="9">
        <v>0.125806</v>
      </c>
      <c r="N244" t="s">
        <v>14</v>
      </c>
      <c r="O244" s="9">
        <v>0.51</v>
      </c>
      <c r="S244" s="7">
        <v>19.4</v>
      </c>
      <c r="T244" s="7">
        <v>11.03</v>
      </c>
      <c r="X244" s="10" t="s">
        <v>428</v>
      </c>
      <c r="Y244" s="11" t="s">
        <v>745</v>
      </c>
      <c r="Z244" t="s">
        <v>522</v>
      </c>
    </row>
    <row r="245" spans="1:26">
      <c r="A245">
        <v>215</v>
      </c>
      <c r="B245" t="s">
        <v>730</v>
      </c>
      <c r="C245" t="s">
        <v>731</v>
      </c>
      <c r="D245" t="s">
        <v>732</v>
      </c>
      <c r="E245" t="s">
        <v>733</v>
      </c>
      <c r="F245" t="s">
        <v>734</v>
      </c>
      <c r="G245" t="s">
        <v>80</v>
      </c>
      <c r="H245" t="s">
        <v>10</v>
      </c>
      <c r="I245">
        <v>0</v>
      </c>
      <c r="J245" t="s">
        <v>746</v>
      </c>
      <c r="K245" s="9">
        <v>1.681</v>
      </c>
      <c r="L245" s="9">
        <v>0.211461</v>
      </c>
      <c r="M245" s="9">
        <v>0.180854</v>
      </c>
      <c r="N245" t="s">
        <v>14</v>
      </c>
      <c r="O245" s="9">
        <v>0.74</v>
      </c>
      <c r="S245" s="7">
        <v>19.32</v>
      </c>
      <c r="T245" s="7">
        <v>12.58</v>
      </c>
      <c r="X245" s="10" t="s">
        <v>428</v>
      </c>
      <c r="Y245" s="11" t="s">
        <v>747</v>
      </c>
      <c r="Z245" t="s">
        <v>522</v>
      </c>
    </row>
    <row r="246" spans="1:26">
      <c r="A246">
        <v>216</v>
      </c>
      <c r="B246" t="s">
        <v>730</v>
      </c>
      <c r="C246" t="s">
        <v>731</v>
      </c>
      <c r="D246" t="s">
        <v>732</v>
      </c>
      <c r="E246" t="s">
        <v>733</v>
      </c>
      <c r="F246" t="s">
        <v>734</v>
      </c>
      <c r="G246" t="s">
        <v>85</v>
      </c>
      <c r="H246" t="s">
        <v>10</v>
      </c>
      <c r="I246">
        <v>0</v>
      </c>
      <c r="J246" t="s">
        <v>748</v>
      </c>
      <c r="K246" s="9">
        <v>1.724644</v>
      </c>
      <c r="L246" s="9">
        <v>0.252409</v>
      </c>
      <c r="M246" s="9">
        <v>0.216526</v>
      </c>
      <c r="N246" t="s">
        <v>14</v>
      </c>
      <c r="S246" s="7">
        <v>21.01</v>
      </c>
      <c r="T246" s="7">
        <v>14.64</v>
      </c>
      <c r="X246" s="10" t="s">
        <v>483</v>
      </c>
      <c r="Y246" s="11" t="s">
        <v>749</v>
      </c>
      <c r="Z246" t="s">
        <v>522</v>
      </c>
    </row>
    <row r="247" spans="1:26">
      <c r="A247">
        <v>217</v>
      </c>
      <c r="B247" t="s">
        <v>730</v>
      </c>
      <c r="C247" t="s">
        <v>731</v>
      </c>
      <c r="D247" t="s">
        <v>732</v>
      </c>
      <c r="E247" t="s">
        <v>733</v>
      </c>
      <c r="F247" t="s">
        <v>734</v>
      </c>
      <c r="G247" t="s">
        <v>89</v>
      </c>
      <c r="H247" t="s">
        <v>10</v>
      </c>
      <c r="I247">
        <v>0</v>
      </c>
      <c r="J247" t="s">
        <v>493</v>
      </c>
      <c r="K247" s="9">
        <v>1.596816</v>
      </c>
      <c r="L247" s="9">
        <v>0.210008</v>
      </c>
      <c r="M247" s="9">
        <v>0.170663</v>
      </c>
      <c r="N247" t="s">
        <v>14</v>
      </c>
      <c r="O247" s="9">
        <v>0.6899999999999999</v>
      </c>
      <c r="S247" s="7">
        <v>20.37</v>
      </c>
      <c r="T247" s="7">
        <v>13.15</v>
      </c>
      <c r="X247" s="10" t="s">
        <v>428</v>
      </c>
      <c r="Y247" s="11" t="s">
        <v>750</v>
      </c>
      <c r="Z247" t="s">
        <v>522</v>
      </c>
    </row>
    <row r="248" spans="1:26">
      <c r="A248">
        <v>218</v>
      </c>
      <c r="B248" t="s">
        <v>730</v>
      </c>
      <c r="C248" t="s">
        <v>731</v>
      </c>
      <c r="D248" t="s">
        <v>732</v>
      </c>
      <c r="E248" t="s">
        <v>733</v>
      </c>
      <c r="F248" t="s">
        <v>734</v>
      </c>
      <c r="G248" t="s">
        <v>93</v>
      </c>
      <c r="H248" t="s">
        <v>10</v>
      </c>
      <c r="I248">
        <v>0</v>
      </c>
      <c r="J248" t="s">
        <v>751</v>
      </c>
      <c r="K248" s="9">
        <v>1.504868</v>
      </c>
      <c r="L248" s="9">
        <v>0.142809</v>
      </c>
      <c r="M248" s="9">
        <v>0.124778</v>
      </c>
      <c r="N248" t="s">
        <v>14</v>
      </c>
      <c r="O248" s="9">
        <v>0.51</v>
      </c>
      <c r="S248" s="7">
        <v>16.56</v>
      </c>
      <c r="T248" s="7">
        <v>9.49</v>
      </c>
      <c r="X248" s="10" t="s">
        <v>428</v>
      </c>
      <c r="Y248" s="11" t="s">
        <v>752</v>
      </c>
      <c r="Z248" t="s">
        <v>522</v>
      </c>
    </row>
    <row r="249" spans="1:26">
      <c r="A249">
        <v>219</v>
      </c>
      <c r="B249" t="s">
        <v>730</v>
      </c>
      <c r="C249" t="s">
        <v>731</v>
      </c>
      <c r="D249" t="s">
        <v>732</v>
      </c>
      <c r="E249" t="s">
        <v>733</v>
      </c>
      <c r="F249" t="s">
        <v>734</v>
      </c>
      <c r="G249" t="s">
        <v>98</v>
      </c>
      <c r="H249" t="s">
        <v>10</v>
      </c>
      <c r="I249">
        <v>0</v>
      </c>
      <c r="J249" t="s">
        <v>497</v>
      </c>
      <c r="K249" s="9">
        <v>2.083691</v>
      </c>
      <c r="L249" s="9">
        <v>0.319287</v>
      </c>
      <c r="M249" s="9">
        <v>0.306081</v>
      </c>
      <c r="N249" t="s">
        <v>14</v>
      </c>
      <c r="O249" s="9">
        <v>1.24</v>
      </c>
      <c r="S249" s="7">
        <v>20.22</v>
      </c>
      <c r="T249" s="7">
        <v>15.32</v>
      </c>
      <c r="X249" s="10" t="s">
        <v>428</v>
      </c>
      <c r="Y249" s="11" t="s">
        <v>753</v>
      </c>
      <c r="Z249" t="s">
        <v>522</v>
      </c>
    </row>
    <row r="250" spans="1:26">
      <c r="A250">
        <v>220</v>
      </c>
      <c r="B250" t="s">
        <v>730</v>
      </c>
      <c r="C250" t="s">
        <v>731</v>
      </c>
      <c r="D250" t="s">
        <v>732</v>
      </c>
      <c r="E250" t="s">
        <v>733</v>
      </c>
      <c r="F250" t="s">
        <v>734</v>
      </c>
      <c r="G250" t="s">
        <v>103</v>
      </c>
      <c r="H250" t="s">
        <v>10</v>
      </c>
      <c r="I250">
        <v>0</v>
      </c>
      <c r="J250" t="s">
        <v>754</v>
      </c>
      <c r="K250" s="9">
        <v>1.90621</v>
      </c>
      <c r="L250" s="9">
        <v>0.225082</v>
      </c>
      <c r="M250" s="9">
        <v>0.164301</v>
      </c>
      <c r="N250" t="s">
        <v>14</v>
      </c>
      <c r="S250" s="7">
        <v>17.54</v>
      </c>
      <c r="T250" s="7">
        <v>11.81</v>
      </c>
      <c r="X250" s="10" t="s">
        <v>483</v>
      </c>
      <c r="Y250" s="11" t="s">
        <v>755</v>
      </c>
      <c r="Z250" t="s">
        <v>522</v>
      </c>
    </row>
    <row r="251" spans="1:26">
      <c r="A251">
        <v>221</v>
      </c>
      <c r="B251" t="s">
        <v>730</v>
      </c>
      <c r="C251" t="s">
        <v>731</v>
      </c>
      <c r="D251" t="s">
        <v>732</v>
      </c>
      <c r="E251" t="s">
        <v>733</v>
      </c>
      <c r="F251" t="s">
        <v>734</v>
      </c>
      <c r="G251" t="s">
        <v>107</v>
      </c>
      <c r="H251" t="s">
        <v>10</v>
      </c>
      <c r="I251">
        <v>0</v>
      </c>
      <c r="J251" t="s">
        <v>501</v>
      </c>
      <c r="K251" s="9">
        <v>1.471539</v>
      </c>
      <c r="L251" s="9">
        <v>0.068703</v>
      </c>
      <c r="M251" s="9">
        <v>0.045351</v>
      </c>
      <c r="N251" t="s">
        <v>14</v>
      </c>
      <c r="O251" s="9">
        <v>0.18</v>
      </c>
      <c r="S251" s="7">
        <v>13.21</v>
      </c>
      <c r="T251" s="7">
        <v>4.67</v>
      </c>
      <c r="X251" s="10" t="s">
        <v>428</v>
      </c>
      <c r="Y251" s="11" t="s">
        <v>756</v>
      </c>
      <c r="Z251" t="s">
        <v>522</v>
      </c>
    </row>
    <row r="252" spans="1:26">
      <c r="A252">
        <v>222</v>
      </c>
      <c r="B252" t="s">
        <v>730</v>
      </c>
      <c r="C252" t="s">
        <v>731</v>
      </c>
      <c r="D252" t="s">
        <v>732</v>
      </c>
      <c r="E252" t="s">
        <v>733</v>
      </c>
      <c r="F252" t="s">
        <v>734</v>
      </c>
      <c r="G252" t="s">
        <v>112</v>
      </c>
      <c r="H252" t="s">
        <v>10</v>
      </c>
      <c r="I252">
        <v>0</v>
      </c>
      <c r="J252" t="s">
        <v>400</v>
      </c>
      <c r="K252" s="9">
        <v>1.457922</v>
      </c>
      <c r="L252" s="9">
        <v>0.076322</v>
      </c>
      <c r="M252" s="9">
        <v>0.064286</v>
      </c>
      <c r="N252" t="s">
        <v>14</v>
      </c>
      <c r="O252" s="9">
        <v>0.26</v>
      </c>
      <c r="S252" s="7">
        <v>12.82</v>
      </c>
      <c r="T252" s="7">
        <v>5.23</v>
      </c>
      <c r="X252" s="10" t="s">
        <v>428</v>
      </c>
      <c r="Y252" s="11" t="s">
        <v>757</v>
      </c>
      <c r="Z252" t="s">
        <v>522</v>
      </c>
    </row>
    <row r="253" spans="1:26">
      <c r="A253">
        <v>223</v>
      </c>
      <c r="B253" t="s">
        <v>730</v>
      </c>
      <c r="C253" t="s">
        <v>731</v>
      </c>
      <c r="D253" t="s">
        <v>732</v>
      </c>
      <c r="E253" t="s">
        <v>733</v>
      </c>
      <c r="F253" t="s">
        <v>734</v>
      </c>
      <c r="G253" t="s">
        <v>116</v>
      </c>
      <c r="H253" t="s">
        <v>10</v>
      </c>
      <c r="I253">
        <v>0</v>
      </c>
      <c r="J253" t="s">
        <v>231</v>
      </c>
      <c r="K253" s="9">
        <v>1.821793</v>
      </c>
      <c r="L253" s="9">
        <v>0.166598</v>
      </c>
      <c r="M253" s="9">
        <v>0.132614</v>
      </c>
      <c r="N253" t="s">
        <v>14</v>
      </c>
      <c r="O253" s="9">
        <v>0.54</v>
      </c>
      <c r="S253" s="7">
        <v>15.52</v>
      </c>
      <c r="T253" s="7">
        <v>9.140000000000001</v>
      </c>
      <c r="X253" s="10" t="s">
        <v>428</v>
      </c>
      <c r="Y253" s="11" t="s">
        <v>758</v>
      </c>
      <c r="Z253" t="s">
        <v>522</v>
      </c>
    </row>
    <row r="254" spans="1:26">
      <c r="A254">
        <v>224</v>
      </c>
      <c r="B254" t="s">
        <v>730</v>
      </c>
      <c r="C254" t="s">
        <v>731</v>
      </c>
      <c r="D254" t="s">
        <v>732</v>
      </c>
      <c r="E254" t="s">
        <v>733</v>
      </c>
      <c r="F254" t="s">
        <v>734</v>
      </c>
      <c r="G254" t="s">
        <v>120</v>
      </c>
      <c r="H254" t="s">
        <v>10</v>
      </c>
      <c r="I254">
        <v>0</v>
      </c>
      <c r="J254" t="s">
        <v>759</v>
      </c>
      <c r="K254" s="9">
        <v>1.751811</v>
      </c>
      <c r="L254" s="9">
        <v>0.158664</v>
      </c>
      <c r="M254" s="9">
        <v>0.117562</v>
      </c>
      <c r="N254" t="s">
        <v>14</v>
      </c>
      <c r="S254" s="7">
        <v>15.93</v>
      </c>
      <c r="T254" s="7">
        <v>9.06</v>
      </c>
      <c r="X254" s="10" t="s">
        <v>483</v>
      </c>
      <c r="Y254" s="11" t="s">
        <v>760</v>
      </c>
      <c r="Z254" t="s">
        <v>522</v>
      </c>
    </row>
    <row r="255" spans="1:26">
      <c r="A255">
        <v>225</v>
      </c>
      <c r="B255" t="s">
        <v>730</v>
      </c>
      <c r="C255" t="s">
        <v>731</v>
      </c>
      <c r="D255" t="s">
        <v>732</v>
      </c>
      <c r="E255" t="s">
        <v>733</v>
      </c>
      <c r="F255" t="s">
        <v>734</v>
      </c>
      <c r="G255" t="s">
        <v>124</v>
      </c>
      <c r="H255" t="s">
        <v>10</v>
      </c>
      <c r="I255">
        <v>0</v>
      </c>
      <c r="J255" t="s">
        <v>761</v>
      </c>
      <c r="K255" s="9">
        <v>1.365511</v>
      </c>
      <c r="L255" s="9">
        <v>0.073126</v>
      </c>
      <c r="M255" s="9">
        <v>0.058897</v>
      </c>
      <c r="N255" t="s">
        <v>14</v>
      </c>
      <c r="O255" s="9">
        <v>0.24</v>
      </c>
      <c r="S255" s="7">
        <v>14.77</v>
      </c>
      <c r="T255" s="7">
        <v>5.36</v>
      </c>
      <c r="X255" s="10" t="s">
        <v>428</v>
      </c>
      <c r="Y255" s="11" t="s">
        <v>762</v>
      </c>
      <c r="Z255" t="s">
        <v>522</v>
      </c>
    </row>
    <row r="256" spans="1:26">
      <c r="A256">
        <v>226</v>
      </c>
      <c r="B256" t="s">
        <v>730</v>
      </c>
      <c r="C256" t="s">
        <v>731</v>
      </c>
      <c r="D256" t="s">
        <v>732</v>
      </c>
      <c r="E256" t="s">
        <v>733</v>
      </c>
      <c r="F256" t="s">
        <v>734</v>
      </c>
      <c r="G256" t="s">
        <v>128</v>
      </c>
      <c r="H256" t="s">
        <v>10</v>
      </c>
      <c r="I256">
        <v>0</v>
      </c>
      <c r="J256" t="s">
        <v>763</v>
      </c>
      <c r="K256" s="9">
        <v>1.461474</v>
      </c>
      <c r="L256" s="9">
        <v>0.081527</v>
      </c>
      <c r="M256" s="9">
        <v>0.066897</v>
      </c>
      <c r="N256" t="s">
        <v>14</v>
      </c>
      <c r="O256" s="9">
        <v>0.27</v>
      </c>
      <c r="S256" s="7">
        <v>14.53</v>
      </c>
      <c r="T256" s="7">
        <v>5.58</v>
      </c>
      <c r="X256" s="10" t="s">
        <v>428</v>
      </c>
      <c r="Y256" s="11" t="s">
        <v>764</v>
      </c>
      <c r="Z256" t="s">
        <v>522</v>
      </c>
    </row>
    <row r="257" spans="1:26">
      <c r="A257">
        <v>227</v>
      </c>
      <c r="B257" t="s">
        <v>730</v>
      </c>
      <c r="C257" t="s">
        <v>731</v>
      </c>
      <c r="D257" t="s">
        <v>732</v>
      </c>
      <c r="E257" t="s">
        <v>733</v>
      </c>
      <c r="F257" t="s">
        <v>734</v>
      </c>
      <c r="G257" t="s">
        <v>133</v>
      </c>
      <c r="H257" t="s">
        <v>10</v>
      </c>
      <c r="I257">
        <v>0</v>
      </c>
      <c r="J257" t="s">
        <v>765</v>
      </c>
      <c r="K257" s="9">
        <v>1.861589</v>
      </c>
      <c r="L257" s="9">
        <v>0.149367</v>
      </c>
      <c r="M257" s="9">
        <v>0.122569</v>
      </c>
      <c r="N257" t="s">
        <v>14</v>
      </c>
      <c r="O257" s="9">
        <v>0.49</v>
      </c>
      <c r="S257" s="7">
        <v>14.64</v>
      </c>
      <c r="T257" s="7">
        <v>8.02</v>
      </c>
      <c r="X257" s="10" t="s">
        <v>428</v>
      </c>
      <c r="Y257" s="11" t="s">
        <v>766</v>
      </c>
      <c r="Z257" t="s">
        <v>522</v>
      </c>
    </row>
    <row r="258" spans="1:26">
      <c r="A258">
        <v>228</v>
      </c>
      <c r="B258" t="s">
        <v>730</v>
      </c>
      <c r="C258" t="s">
        <v>731</v>
      </c>
      <c r="D258" t="s">
        <v>732</v>
      </c>
      <c r="E258" t="s">
        <v>733</v>
      </c>
      <c r="F258" t="s">
        <v>734</v>
      </c>
      <c r="G258" t="s">
        <v>137</v>
      </c>
      <c r="H258" t="s">
        <v>10</v>
      </c>
      <c r="I258">
        <v>0</v>
      </c>
      <c r="J258" t="s">
        <v>759</v>
      </c>
      <c r="K258" s="9">
        <v>1.629118</v>
      </c>
      <c r="L258" s="9">
        <v>0.134435</v>
      </c>
      <c r="M258" s="9">
        <v>0.105649</v>
      </c>
      <c r="N258" t="s">
        <v>14</v>
      </c>
      <c r="S258" s="7">
        <v>15.14</v>
      </c>
      <c r="T258" s="7">
        <v>8.25</v>
      </c>
      <c r="X258" s="10" t="s">
        <v>483</v>
      </c>
      <c r="Y258" s="11" t="s">
        <v>760</v>
      </c>
      <c r="Z258" t="s">
        <v>522</v>
      </c>
    </row>
    <row r="259" spans="1:26">
      <c r="A259">
        <v>229</v>
      </c>
      <c r="B259" t="s">
        <v>730</v>
      </c>
      <c r="C259" t="s">
        <v>731</v>
      </c>
      <c r="D259" t="s">
        <v>732</v>
      </c>
      <c r="E259" t="s">
        <v>733</v>
      </c>
      <c r="F259" t="s">
        <v>734</v>
      </c>
      <c r="G259" t="s">
        <v>141</v>
      </c>
      <c r="H259" t="s">
        <v>10</v>
      </c>
      <c r="I259">
        <v>0</v>
      </c>
      <c r="J259" t="s">
        <v>767</v>
      </c>
      <c r="K259" s="9">
        <v>1.321575</v>
      </c>
      <c r="L259" s="9">
        <v>0.031523</v>
      </c>
      <c r="M259" s="9">
        <v>0.021128</v>
      </c>
      <c r="N259" t="s">
        <v>14</v>
      </c>
      <c r="O259" s="9">
        <v>0.09</v>
      </c>
      <c r="S259" s="7">
        <v>11.92</v>
      </c>
      <c r="T259" s="7">
        <v>2.39</v>
      </c>
      <c r="X259" s="10" t="s">
        <v>428</v>
      </c>
      <c r="Y259" s="11" t="s">
        <v>768</v>
      </c>
      <c r="Z259" t="s">
        <v>522</v>
      </c>
    </row>
    <row r="260" spans="1:26">
      <c r="A260">
        <v>230</v>
      </c>
      <c r="B260" t="s">
        <v>730</v>
      </c>
      <c r="C260" t="s">
        <v>731</v>
      </c>
      <c r="D260" t="s">
        <v>732</v>
      </c>
      <c r="E260" t="s">
        <v>733</v>
      </c>
      <c r="F260" t="s">
        <v>734</v>
      </c>
      <c r="G260" t="s">
        <v>146</v>
      </c>
      <c r="H260" t="s">
        <v>10</v>
      </c>
      <c r="I260">
        <v>0</v>
      </c>
      <c r="J260" t="s">
        <v>763</v>
      </c>
      <c r="K260" s="9">
        <v>1.511392</v>
      </c>
      <c r="L260" s="9">
        <v>0.09196699999999999</v>
      </c>
      <c r="M260" s="9">
        <v>0.054417</v>
      </c>
      <c r="N260" t="s">
        <v>14</v>
      </c>
      <c r="O260" s="9">
        <v>0.22</v>
      </c>
      <c r="S260" s="7">
        <v>12.04</v>
      </c>
      <c r="T260" s="7">
        <v>6.08</v>
      </c>
      <c r="X260" s="10" t="s">
        <v>428</v>
      </c>
      <c r="Y260" s="11" t="s">
        <v>764</v>
      </c>
      <c r="Z260" t="s">
        <v>522</v>
      </c>
    </row>
    <row r="261" spans="1:26">
      <c r="A261">
        <v>231</v>
      </c>
      <c r="B261" t="s">
        <v>730</v>
      </c>
      <c r="C261" t="s">
        <v>731</v>
      </c>
      <c r="D261" t="s">
        <v>732</v>
      </c>
      <c r="E261" t="s">
        <v>733</v>
      </c>
      <c r="F261" t="s">
        <v>734</v>
      </c>
      <c r="G261" t="s">
        <v>472</v>
      </c>
      <c r="H261" t="s">
        <v>10</v>
      </c>
      <c r="I261">
        <v>0</v>
      </c>
      <c r="J261" t="s">
        <v>765</v>
      </c>
      <c r="K261" s="9">
        <v>1.986968</v>
      </c>
      <c r="L261" s="9">
        <v>0.158927</v>
      </c>
      <c r="M261" s="9">
        <v>0.126589</v>
      </c>
      <c r="N261" t="s">
        <v>14</v>
      </c>
      <c r="O261" s="9">
        <v>0.51</v>
      </c>
      <c r="S261" s="7">
        <v>14.32</v>
      </c>
      <c r="T261" s="7">
        <v>8</v>
      </c>
      <c r="X261" s="10" t="s">
        <v>428</v>
      </c>
      <c r="Y261" s="11" t="s">
        <v>766</v>
      </c>
      <c r="Z261" t="s">
        <v>522</v>
      </c>
    </row>
    <row r="262" spans="1:26">
      <c r="A262">
        <v>232</v>
      </c>
      <c r="B262" t="s">
        <v>730</v>
      </c>
      <c r="C262" t="s">
        <v>731</v>
      </c>
      <c r="D262" t="s">
        <v>732</v>
      </c>
      <c r="E262" t="s">
        <v>733</v>
      </c>
      <c r="F262" t="s">
        <v>734</v>
      </c>
      <c r="G262" t="s">
        <v>475</v>
      </c>
      <c r="H262" t="s">
        <v>10</v>
      </c>
      <c r="I262">
        <v>0</v>
      </c>
      <c r="J262" t="s">
        <v>759</v>
      </c>
      <c r="K262" s="9">
        <v>1.888046</v>
      </c>
      <c r="L262" s="9">
        <v>0.184968</v>
      </c>
      <c r="M262" s="9">
        <v>0.171761</v>
      </c>
      <c r="N262" t="s">
        <v>14</v>
      </c>
      <c r="S262" s="7">
        <v>16.66</v>
      </c>
      <c r="T262" s="7">
        <v>9.800000000000001</v>
      </c>
      <c r="X262" s="10" t="s">
        <v>483</v>
      </c>
      <c r="Y262" s="11" t="s">
        <v>760</v>
      </c>
      <c r="Z262" t="s">
        <v>522</v>
      </c>
    </row>
    <row r="263" spans="1:26">
      <c r="A263">
        <v>233</v>
      </c>
      <c r="B263" t="s">
        <v>730</v>
      </c>
      <c r="C263" t="s">
        <v>731</v>
      </c>
      <c r="D263" t="s">
        <v>732</v>
      </c>
      <c r="E263" t="s">
        <v>733</v>
      </c>
      <c r="F263" t="s">
        <v>734</v>
      </c>
      <c r="G263" t="s">
        <v>150</v>
      </c>
      <c r="H263" t="s">
        <v>10</v>
      </c>
      <c r="I263">
        <v>0</v>
      </c>
      <c r="J263" t="s">
        <v>767</v>
      </c>
      <c r="K263" s="9">
        <v>1.684701</v>
      </c>
      <c r="L263" s="9">
        <v>0.100287</v>
      </c>
      <c r="M263" s="9">
        <v>0.08335099999999999</v>
      </c>
      <c r="N263" t="s">
        <v>14</v>
      </c>
      <c r="O263" s="9">
        <v>0.33</v>
      </c>
      <c r="S263" s="7">
        <v>14.19</v>
      </c>
      <c r="T263" s="7">
        <v>5.95</v>
      </c>
      <c r="X263" s="10" t="s">
        <v>428</v>
      </c>
      <c r="Y263" s="11" t="s">
        <v>768</v>
      </c>
      <c r="Z263" t="s">
        <v>522</v>
      </c>
    </row>
    <row r="264" spans="1:26">
      <c r="A264">
        <v>234</v>
      </c>
      <c r="B264" t="s">
        <v>769</v>
      </c>
      <c r="C264" t="s">
        <v>770</v>
      </c>
      <c r="D264" t="s">
        <v>771</v>
      </c>
      <c r="E264" t="s">
        <v>733</v>
      </c>
      <c r="F264" t="s">
        <v>772</v>
      </c>
      <c r="G264" t="s">
        <v>57</v>
      </c>
      <c r="H264" t="s">
        <v>10</v>
      </c>
      <c r="I264">
        <v>0</v>
      </c>
      <c r="J264" t="s">
        <v>773</v>
      </c>
      <c r="K264" s="9">
        <v>3.957</v>
      </c>
      <c r="L264" s="9">
        <v>0.9320000000000001</v>
      </c>
      <c r="M264" s="9">
        <v>0.755</v>
      </c>
      <c r="N264" t="s">
        <v>14</v>
      </c>
      <c r="O264" s="9">
        <v>0.82</v>
      </c>
      <c r="S264" s="7">
        <v>44.2</v>
      </c>
      <c r="T264" s="7">
        <v>23.55</v>
      </c>
      <c r="X264" s="10" t="s">
        <v>428</v>
      </c>
      <c r="Y264" s="11" t="s">
        <v>774</v>
      </c>
      <c r="Z264" t="s">
        <v>522</v>
      </c>
    </row>
    <row r="265" spans="1:26">
      <c r="A265">
        <v>235</v>
      </c>
      <c r="B265" t="s">
        <v>769</v>
      </c>
      <c r="C265" t="s">
        <v>770</v>
      </c>
      <c r="D265" t="s">
        <v>771</v>
      </c>
      <c r="E265" t="s">
        <v>733</v>
      </c>
      <c r="F265" t="s">
        <v>772</v>
      </c>
      <c r="G265" t="s">
        <v>62</v>
      </c>
      <c r="H265" t="s">
        <v>10</v>
      </c>
      <c r="I265">
        <v>0</v>
      </c>
      <c r="J265" t="s">
        <v>775</v>
      </c>
      <c r="K265" s="9">
        <v>4.395</v>
      </c>
      <c r="L265" s="9">
        <v>1.108</v>
      </c>
      <c r="M265" s="9">
        <v>0.841</v>
      </c>
      <c r="N265" t="s">
        <v>14</v>
      </c>
      <c r="O265" s="9">
        <v>0.91</v>
      </c>
      <c r="S265" s="7">
        <v>44.48</v>
      </c>
      <c r="T265" s="7">
        <v>25.21</v>
      </c>
      <c r="X265" s="10" t="s">
        <v>428</v>
      </c>
      <c r="Y265" s="11" t="s">
        <v>776</v>
      </c>
      <c r="Z265" t="s">
        <v>522</v>
      </c>
    </row>
    <row r="266" spans="1:26">
      <c r="A266">
        <v>236</v>
      </c>
      <c r="B266" t="s">
        <v>769</v>
      </c>
      <c r="C266" t="s">
        <v>770</v>
      </c>
      <c r="D266" t="s">
        <v>771</v>
      </c>
      <c r="E266" t="s">
        <v>733</v>
      </c>
      <c r="F266" t="s">
        <v>772</v>
      </c>
      <c r="G266" t="s">
        <v>71</v>
      </c>
      <c r="H266" t="s">
        <v>10</v>
      </c>
      <c r="I266">
        <v>0</v>
      </c>
      <c r="J266" t="s">
        <v>777</v>
      </c>
      <c r="K266" s="9">
        <v>5.162</v>
      </c>
      <c r="L266" s="9">
        <v>1.283</v>
      </c>
      <c r="M266" s="9">
        <v>1.13</v>
      </c>
      <c r="N266" t="s">
        <v>14</v>
      </c>
      <c r="O266" s="9">
        <v>1.22</v>
      </c>
      <c r="S266" s="7">
        <v>45.51</v>
      </c>
      <c r="T266" s="7">
        <v>24.85</v>
      </c>
      <c r="X266" s="10" t="s">
        <v>428</v>
      </c>
      <c r="Y266" s="11" t="s">
        <v>778</v>
      </c>
      <c r="Z266" t="s">
        <v>522</v>
      </c>
    </row>
    <row r="267" spans="1:26">
      <c r="A267">
        <v>237</v>
      </c>
      <c r="B267" t="s">
        <v>769</v>
      </c>
      <c r="C267" t="s">
        <v>770</v>
      </c>
      <c r="D267" t="s">
        <v>771</v>
      </c>
      <c r="E267" t="s">
        <v>733</v>
      </c>
      <c r="F267" t="s">
        <v>772</v>
      </c>
      <c r="G267" t="s">
        <v>75</v>
      </c>
      <c r="H267" t="s">
        <v>10</v>
      </c>
      <c r="I267">
        <v>0</v>
      </c>
      <c r="J267" t="s">
        <v>779</v>
      </c>
      <c r="K267" s="9">
        <v>5.582</v>
      </c>
      <c r="L267" s="9">
        <v>1.579</v>
      </c>
      <c r="M267" s="9">
        <v>1.33</v>
      </c>
      <c r="N267" t="s">
        <v>14</v>
      </c>
      <c r="O267" s="9">
        <v>1.43</v>
      </c>
      <c r="S267" s="7">
        <v>47.53</v>
      </c>
      <c r="T267" s="7">
        <v>28.29</v>
      </c>
      <c r="X267" s="10" t="s">
        <v>428</v>
      </c>
      <c r="Y267" s="11" t="s">
        <v>780</v>
      </c>
      <c r="Z267" t="s">
        <v>522</v>
      </c>
    </row>
    <row r="268" spans="1:26">
      <c r="A268">
        <v>238</v>
      </c>
      <c r="B268" t="s">
        <v>769</v>
      </c>
      <c r="C268" t="s">
        <v>770</v>
      </c>
      <c r="D268" t="s">
        <v>771</v>
      </c>
      <c r="E268" t="s">
        <v>733</v>
      </c>
      <c r="F268" t="s">
        <v>772</v>
      </c>
      <c r="G268" t="s">
        <v>80</v>
      </c>
      <c r="H268" t="s">
        <v>10</v>
      </c>
      <c r="I268">
        <v>0</v>
      </c>
      <c r="J268" t="s">
        <v>781</v>
      </c>
      <c r="K268" s="9">
        <v>6.196</v>
      </c>
      <c r="L268" s="9">
        <v>2.013</v>
      </c>
      <c r="M268" s="9">
        <v>1.716</v>
      </c>
      <c r="N268" t="s">
        <v>14</v>
      </c>
      <c r="O268" s="9">
        <v>1.87</v>
      </c>
      <c r="S268" s="7">
        <v>47.89</v>
      </c>
      <c r="T268" s="7">
        <v>32.49</v>
      </c>
      <c r="X268" s="10" t="s">
        <v>428</v>
      </c>
      <c r="Y268" s="11" t="s">
        <v>782</v>
      </c>
      <c r="Z268" t="s">
        <v>522</v>
      </c>
    </row>
    <row r="269" spans="1:26">
      <c r="A269">
        <v>239</v>
      </c>
      <c r="B269" t="s">
        <v>769</v>
      </c>
      <c r="C269" t="s">
        <v>770</v>
      </c>
      <c r="D269" t="s">
        <v>771</v>
      </c>
      <c r="E269" t="s">
        <v>733</v>
      </c>
      <c r="F269" t="s">
        <v>772</v>
      </c>
      <c r="G269" t="s">
        <v>85</v>
      </c>
      <c r="H269" t="s">
        <v>10</v>
      </c>
      <c r="I269">
        <v>0</v>
      </c>
      <c r="J269" t="s">
        <v>783</v>
      </c>
      <c r="K269" s="9">
        <v>6.123</v>
      </c>
      <c r="L269" s="9">
        <v>2.014</v>
      </c>
      <c r="M269" s="9">
        <v>1.712</v>
      </c>
      <c r="N269" t="s">
        <v>14</v>
      </c>
      <c r="S269" s="7">
        <v>48.1</v>
      </c>
      <c r="T269" s="7">
        <v>32.89</v>
      </c>
      <c r="X269" s="10" t="s">
        <v>483</v>
      </c>
      <c r="Y269" s="11" t="s">
        <v>784</v>
      </c>
      <c r="Z269" t="s">
        <v>522</v>
      </c>
    </row>
    <row r="270" spans="1:26">
      <c r="A270">
        <v>240</v>
      </c>
      <c r="B270" t="s">
        <v>769</v>
      </c>
      <c r="C270" t="s">
        <v>770</v>
      </c>
      <c r="D270" t="s">
        <v>771</v>
      </c>
      <c r="E270" t="s">
        <v>733</v>
      </c>
      <c r="F270" t="s">
        <v>772</v>
      </c>
      <c r="G270" t="s">
        <v>89</v>
      </c>
      <c r="H270" t="s">
        <v>10</v>
      </c>
      <c r="I270">
        <v>0</v>
      </c>
      <c r="J270" t="s">
        <v>785</v>
      </c>
      <c r="K270" s="9">
        <v>6.271</v>
      </c>
      <c r="L270" s="9">
        <v>1.976</v>
      </c>
      <c r="M270" s="9">
        <v>1.792</v>
      </c>
      <c r="N270" t="s">
        <v>14</v>
      </c>
      <c r="O270" s="9">
        <v>2</v>
      </c>
      <c r="S270" s="7">
        <v>47.19</v>
      </c>
      <c r="T270" s="7">
        <v>31.51</v>
      </c>
      <c r="X270" s="10" t="s">
        <v>428</v>
      </c>
      <c r="Y270" s="11" t="s">
        <v>786</v>
      </c>
      <c r="Z270" t="s">
        <v>522</v>
      </c>
    </row>
    <row r="271" spans="1:26">
      <c r="A271">
        <v>241</v>
      </c>
      <c r="B271" t="s">
        <v>769</v>
      </c>
      <c r="C271" t="s">
        <v>770</v>
      </c>
      <c r="D271" t="s">
        <v>771</v>
      </c>
      <c r="E271" t="s">
        <v>733</v>
      </c>
      <c r="F271" t="s">
        <v>772</v>
      </c>
      <c r="G271" t="s">
        <v>93</v>
      </c>
      <c r="H271" t="s">
        <v>10</v>
      </c>
      <c r="I271">
        <v>0</v>
      </c>
      <c r="J271" t="s">
        <v>787</v>
      </c>
      <c r="K271" s="9">
        <v>6.245</v>
      </c>
      <c r="L271" s="9">
        <v>1.894</v>
      </c>
      <c r="M271" s="9">
        <v>1.536</v>
      </c>
      <c r="N271" t="s">
        <v>14</v>
      </c>
      <c r="O271" s="9">
        <v>1.74</v>
      </c>
      <c r="S271" s="7">
        <v>46.87</v>
      </c>
      <c r="T271" s="7">
        <v>30.33</v>
      </c>
      <c r="X271" s="10" t="s">
        <v>428</v>
      </c>
      <c r="Y271" s="11" t="s">
        <v>788</v>
      </c>
      <c r="Z271" t="s">
        <v>522</v>
      </c>
    </row>
    <row r="272" spans="1:26">
      <c r="A272">
        <v>242</v>
      </c>
      <c r="B272" t="s">
        <v>769</v>
      </c>
      <c r="C272" t="s">
        <v>770</v>
      </c>
      <c r="D272" t="s">
        <v>771</v>
      </c>
      <c r="E272" t="s">
        <v>733</v>
      </c>
      <c r="F272" t="s">
        <v>772</v>
      </c>
      <c r="G272" t="s">
        <v>98</v>
      </c>
      <c r="H272" t="s">
        <v>10</v>
      </c>
      <c r="I272">
        <v>0</v>
      </c>
      <c r="J272" t="s">
        <v>789</v>
      </c>
      <c r="K272" s="9">
        <v>6.52</v>
      </c>
      <c r="L272" s="9">
        <v>1.924</v>
      </c>
      <c r="M272" s="9">
        <v>1.606</v>
      </c>
      <c r="N272" t="s">
        <v>14</v>
      </c>
      <c r="O272" s="9">
        <v>1.85</v>
      </c>
      <c r="S272" s="7">
        <v>46.1</v>
      </c>
      <c r="T272" s="7">
        <v>29.51</v>
      </c>
      <c r="X272" s="10" t="s">
        <v>428</v>
      </c>
      <c r="Y272" s="11" t="s">
        <v>790</v>
      </c>
      <c r="Z272" t="s">
        <v>522</v>
      </c>
    </row>
    <row r="273" spans="1:26">
      <c r="A273">
        <v>243</v>
      </c>
      <c r="B273" t="s">
        <v>769</v>
      </c>
      <c r="C273" t="s">
        <v>770</v>
      </c>
      <c r="D273" t="s">
        <v>771</v>
      </c>
      <c r="E273" t="s">
        <v>733</v>
      </c>
      <c r="F273" t="s">
        <v>772</v>
      </c>
      <c r="G273" t="s">
        <v>103</v>
      </c>
      <c r="H273" t="s">
        <v>10</v>
      </c>
      <c r="I273">
        <v>0</v>
      </c>
      <c r="J273" t="s">
        <v>791</v>
      </c>
      <c r="K273" s="9">
        <v>6.749</v>
      </c>
      <c r="L273" s="9">
        <v>1.994</v>
      </c>
      <c r="M273" s="9">
        <v>1.591</v>
      </c>
      <c r="N273" t="s">
        <v>14</v>
      </c>
      <c r="S273" s="7">
        <v>45.95</v>
      </c>
      <c r="T273" s="7">
        <v>29.55</v>
      </c>
      <c r="X273" s="10" t="s">
        <v>483</v>
      </c>
      <c r="Y273" s="11" t="s">
        <v>792</v>
      </c>
      <c r="Z273" t="s">
        <v>522</v>
      </c>
    </row>
    <row r="274" spans="1:26">
      <c r="A274">
        <v>244</v>
      </c>
      <c r="B274" t="s">
        <v>769</v>
      </c>
      <c r="C274" t="s">
        <v>770</v>
      </c>
      <c r="D274" t="s">
        <v>771</v>
      </c>
      <c r="E274" t="s">
        <v>733</v>
      </c>
      <c r="F274" t="s">
        <v>772</v>
      </c>
      <c r="G274" t="s">
        <v>107</v>
      </c>
      <c r="H274" t="s">
        <v>10</v>
      </c>
      <c r="I274">
        <v>0</v>
      </c>
      <c r="J274" t="s">
        <v>793</v>
      </c>
      <c r="K274" s="9">
        <v>6.739</v>
      </c>
      <c r="L274" s="9">
        <v>1.97</v>
      </c>
      <c r="M274" s="9">
        <v>1.717</v>
      </c>
      <c r="N274" t="s">
        <v>14</v>
      </c>
      <c r="O274" s="9">
        <v>2.02</v>
      </c>
      <c r="S274" s="7">
        <v>46.67</v>
      </c>
      <c r="T274" s="7">
        <v>29.23</v>
      </c>
      <c r="X274" s="10" t="s">
        <v>428</v>
      </c>
      <c r="Y274" s="11" t="s">
        <v>794</v>
      </c>
      <c r="Z274" t="s">
        <v>522</v>
      </c>
    </row>
    <row r="275" spans="1:26">
      <c r="A275">
        <v>245</v>
      </c>
      <c r="B275" t="s">
        <v>769</v>
      </c>
      <c r="C275" t="s">
        <v>770</v>
      </c>
      <c r="D275" t="s">
        <v>771</v>
      </c>
      <c r="E275" t="s">
        <v>733</v>
      </c>
      <c r="F275" t="s">
        <v>772</v>
      </c>
      <c r="G275" t="s">
        <v>112</v>
      </c>
      <c r="H275" t="s">
        <v>10</v>
      </c>
      <c r="I275">
        <v>0</v>
      </c>
      <c r="J275" t="s">
        <v>795</v>
      </c>
      <c r="K275" s="9">
        <v>6.63</v>
      </c>
      <c r="L275" s="9">
        <v>1.911</v>
      </c>
      <c r="M275" s="9">
        <v>1.575</v>
      </c>
      <c r="N275" t="s">
        <v>14</v>
      </c>
      <c r="O275" s="9">
        <v>1.86</v>
      </c>
      <c r="S275" s="7">
        <v>46.67</v>
      </c>
      <c r="T275" s="7">
        <v>28.82</v>
      </c>
      <c r="X275" s="10" t="s">
        <v>428</v>
      </c>
      <c r="Y275" s="11" t="s">
        <v>796</v>
      </c>
      <c r="Z275" t="s">
        <v>522</v>
      </c>
    </row>
    <row r="276" spans="1:26">
      <c r="A276">
        <v>246</v>
      </c>
      <c r="B276" t="s">
        <v>769</v>
      </c>
      <c r="C276" t="s">
        <v>770</v>
      </c>
      <c r="D276" t="s">
        <v>771</v>
      </c>
      <c r="E276" t="s">
        <v>733</v>
      </c>
      <c r="F276" t="s">
        <v>772</v>
      </c>
      <c r="G276" t="s">
        <v>116</v>
      </c>
      <c r="H276" t="s">
        <v>10</v>
      </c>
      <c r="I276">
        <v>0</v>
      </c>
      <c r="J276" t="s">
        <v>797</v>
      </c>
      <c r="K276" s="9">
        <v>6.425</v>
      </c>
      <c r="L276" s="9">
        <v>1.802</v>
      </c>
      <c r="M276" s="9">
        <v>1.56</v>
      </c>
      <c r="N276" t="s">
        <v>14</v>
      </c>
      <c r="O276" s="9">
        <v>1.85</v>
      </c>
      <c r="S276" s="7">
        <v>46.32</v>
      </c>
      <c r="T276" s="7">
        <v>28.05</v>
      </c>
      <c r="X276" s="10" t="s">
        <v>428</v>
      </c>
      <c r="Y276" s="11" t="s">
        <v>798</v>
      </c>
      <c r="Z276" t="s">
        <v>522</v>
      </c>
    </row>
    <row r="277" spans="1:26">
      <c r="A277">
        <v>247</v>
      </c>
      <c r="B277" t="s">
        <v>769</v>
      </c>
      <c r="C277" t="s">
        <v>770</v>
      </c>
      <c r="D277" t="s">
        <v>771</v>
      </c>
      <c r="E277" t="s">
        <v>733</v>
      </c>
      <c r="F277" t="s">
        <v>772</v>
      </c>
      <c r="G277" t="s">
        <v>120</v>
      </c>
      <c r="H277" t="s">
        <v>10</v>
      </c>
      <c r="I277">
        <v>0</v>
      </c>
      <c r="J277" t="s">
        <v>799</v>
      </c>
      <c r="K277" s="9">
        <v>6.723</v>
      </c>
      <c r="L277" s="9">
        <v>1.971</v>
      </c>
      <c r="M277" s="9">
        <v>2.004</v>
      </c>
      <c r="N277" t="s">
        <v>14</v>
      </c>
      <c r="S277" s="7">
        <v>47.14</v>
      </c>
      <c r="T277" s="7">
        <v>29.32</v>
      </c>
      <c r="X277" s="10" t="s">
        <v>483</v>
      </c>
      <c r="Y277" s="11" t="s">
        <v>800</v>
      </c>
      <c r="Z277" t="s">
        <v>522</v>
      </c>
    </row>
    <row r="278" spans="1:26">
      <c r="A278">
        <v>248</v>
      </c>
      <c r="B278" t="s">
        <v>769</v>
      </c>
      <c r="C278" t="s">
        <v>770</v>
      </c>
      <c r="D278" t="s">
        <v>771</v>
      </c>
      <c r="E278" t="s">
        <v>733</v>
      </c>
      <c r="F278" t="s">
        <v>772</v>
      </c>
      <c r="G278" t="s">
        <v>124</v>
      </c>
      <c r="H278" t="s">
        <v>10</v>
      </c>
      <c r="I278">
        <v>0</v>
      </c>
      <c r="J278" t="s">
        <v>801</v>
      </c>
      <c r="K278" s="9">
        <v>6.707</v>
      </c>
      <c r="L278" s="9">
        <v>1.967</v>
      </c>
      <c r="M278" s="9">
        <v>2.019</v>
      </c>
      <c r="N278" t="s">
        <v>14</v>
      </c>
      <c r="O278" s="9">
        <v>2.41</v>
      </c>
      <c r="S278" s="7">
        <v>47.77</v>
      </c>
      <c r="T278" s="7">
        <v>29.33</v>
      </c>
      <c r="X278" s="10" t="s">
        <v>428</v>
      </c>
      <c r="Y278" s="11" t="s">
        <v>802</v>
      </c>
      <c r="Z278" t="s">
        <v>522</v>
      </c>
    </row>
    <row r="279" spans="1:26">
      <c r="A279">
        <v>249</v>
      </c>
      <c r="B279" t="s">
        <v>769</v>
      </c>
      <c r="C279" t="s">
        <v>770</v>
      </c>
      <c r="D279" t="s">
        <v>771</v>
      </c>
      <c r="E279" t="s">
        <v>733</v>
      </c>
      <c r="F279" t="s">
        <v>772</v>
      </c>
      <c r="G279" t="s">
        <v>128</v>
      </c>
      <c r="H279" t="s">
        <v>10</v>
      </c>
      <c r="I279">
        <v>0</v>
      </c>
      <c r="J279" t="s">
        <v>803</v>
      </c>
      <c r="K279" s="9">
        <v>6.646</v>
      </c>
      <c r="L279" s="9">
        <v>1.912</v>
      </c>
      <c r="M279" s="9">
        <v>1.722</v>
      </c>
      <c r="N279" t="s">
        <v>14</v>
      </c>
      <c r="O279" s="9">
        <v>2.06</v>
      </c>
      <c r="S279" s="7">
        <v>47.44</v>
      </c>
      <c r="T279" s="7">
        <v>28.77</v>
      </c>
      <c r="X279" s="10" t="s">
        <v>428</v>
      </c>
      <c r="Y279" s="11" t="s">
        <v>804</v>
      </c>
      <c r="Z279" t="s">
        <v>522</v>
      </c>
    </row>
    <row r="280" spans="1:26">
      <c r="A280">
        <v>250</v>
      </c>
      <c r="B280" t="s">
        <v>769</v>
      </c>
      <c r="C280" t="s">
        <v>770</v>
      </c>
      <c r="D280" t="s">
        <v>771</v>
      </c>
      <c r="E280" t="s">
        <v>733</v>
      </c>
      <c r="F280" t="s">
        <v>772</v>
      </c>
      <c r="G280" t="s">
        <v>133</v>
      </c>
      <c r="H280" t="s">
        <v>10</v>
      </c>
      <c r="I280">
        <v>0</v>
      </c>
      <c r="J280" t="s">
        <v>805</v>
      </c>
      <c r="K280" s="9">
        <v>6.778</v>
      </c>
      <c r="L280" s="9">
        <v>1.942</v>
      </c>
      <c r="M280" s="9">
        <v>1.705</v>
      </c>
      <c r="N280" t="s">
        <v>14</v>
      </c>
      <c r="O280" s="9">
        <v>2.05</v>
      </c>
      <c r="S280" s="7">
        <v>47.29</v>
      </c>
      <c r="T280" s="7">
        <v>28.65</v>
      </c>
      <c r="X280" s="10" t="s">
        <v>428</v>
      </c>
      <c r="Y280" s="11" t="s">
        <v>806</v>
      </c>
      <c r="Z280" t="s">
        <v>522</v>
      </c>
    </row>
    <row r="281" spans="1:26">
      <c r="A281">
        <v>251</v>
      </c>
      <c r="B281" t="s">
        <v>769</v>
      </c>
      <c r="C281" t="s">
        <v>770</v>
      </c>
      <c r="D281" t="s">
        <v>771</v>
      </c>
      <c r="E281" t="s">
        <v>733</v>
      </c>
      <c r="F281" t="s">
        <v>772</v>
      </c>
      <c r="G281" t="s">
        <v>137</v>
      </c>
      <c r="H281" t="s">
        <v>10</v>
      </c>
      <c r="I281">
        <v>0</v>
      </c>
      <c r="J281" t="s">
        <v>799</v>
      </c>
      <c r="K281" s="9">
        <v>7.045</v>
      </c>
      <c r="L281" s="9">
        <v>2.046</v>
      </c>
      <c r="M281" s="9">
        <v>1.731</v>
      </c>
      <c r="N281" t="s">
        <v>14</v>
      </c>
      <c r="S281" s="7">
        <v>47.34</v>
      </c>
      <c r="T281" s="7">
        <v>29.04</v>
      </c>
      <c r="X281" s="10" t="s">
        <v>483</v>
      </c>
      <c r="Y281" s="11" t="s">
        <v>800</v>
      </c>
      <c r="Z281" t="s">
        <v>522</v>
      </c>
    </row>
    <row r="282" spans="1:26">
      <c r="A282">
        <v>252</v>
      </c>
      <c r="B282" t="s">
        <v>769</v>
      </c>
      <c r="C282" t="s">
        <v>770</v>
      </c>
      <c r="D282" t="s">
        <v>771</v>
      </c>
      <c r="E282" t="s">
        <v>733</v>
      </c>
      <c r="F282" t="s">
        <v>772</v>
      </c>
      <c r="G282" t="s">
        <v>141</v>
      </c>
      <c r="H282" t="s">
        <v>10</v>
      </c>
      <c r="I282">
        <v>0</v>
      </c>
      <c r="J282" t="s">
        <v>807</v>
      </c>
      <c r="K282" s="9">
        <v>7.166</v>
      </c>
      <c r="L282" s="9">
        <v>2.175</v>
      </c>
      <c r="M282" s="9">
        <v>1.185</v>
      </c>
      <c r="N282" t="s">
        <v>14</v>
      </c>
      <c r="O282" s="9">
        <v>1.45</v>
      </c>
      <c r="S282" s="7">
        <v>48.79</v>
      </c>
      <c r="T282" s="7">
        <v>30.35</v>
      </c>
      <c r="X282" s="10" t="s">
        <v>428</v>
      </c>
      <c r="Y282" s="11" t="s">
        <v>808</v>
      </c>
      <c r="Z282" t="s">
        <v>522</v>
      </c>
    </row>
    <row r="283" spans="1:26">
      <c r="A283">
        <v>253</v>
      </c>
      <c r="B283" t="s">
        <v>769</v>
      </c>
      <c r="C283" t="s">
        <v>770</v>
      </c>
      <c r="D283" t="s">
        <v>771</v>
      </c>
      <c r="E283" t="s">
        <v>733</v>
      </c>
      <c r="F283" t="s">
        <v>772</v>
      </c>
      <c r="G283" t="s">
        <v>146</v>
      </c>
      <c r="H283" t="s">
        <v>10</v>
      </c>
      <c r="I283">
        <v>0</v>
      </c>
      <c r="J283" t="s">
        <v>809</v>
      </c>
      <c r="K283" s="9">
        <v>7.1</v>
      </c>
      <c r="L283" s="9">
        <v>2.169</v>
      </c>
      <c r="M283" s="9">
        <v>2.137</v>
      </c>
      <c r="N283" t="s">
        <v>14</v>
      </c>
      <c r="O283" s="9">
        <v>2.63</v>
      </c>
      <c r="S283" s="7">
        <v>49.08</v>
      </c>
      <c r="T283" s="7">
        <v>30.55</v>
      </c>
      <c r="X283" s="10" t="s">
        <v>428</v>
      </c>
      <c r="Y283" s="11" t="s">
        <v>810</v>
      </c>
      <c r="Z283" t="s">
        <v>522</v>
      </c>
    </row>
    <row r="284" spans="1:26">
      <c r="A284">
        <v>254</v>
      </c>
      <c r="B284" t="s">
        <v>769</v>
      </c>
      <c r="C284" t="s">
        <v>770</v>
      </c>
      <c r="D284" t="s">
        <v>771</v>
      </c>
      <c r="E284" t="s">
        <v>733</v>
      </c>
      <c r="F284" t="s">
        <v>772</v>
      </c>
      <c r="G284" t="s">
        <v>472</v>
      </c>
      <c r="H284" t="s">
        <v>10</v>
      </c>
      <c r="I284">
        <v>0</v>
      </c>
      <c r="J284" t="s">
        <v>811</v>
      </c>
      <c r="K284" s="9">
        <v>7.302</v>
      </c>
      <c r="L284" s="9">
        <v>2.233</v>
      </c>
      <c r="M284" s="9">
        <v>1.779</v>
      </c>
      <c r="N284" t="s">
        <v>14</v>
      </c>
      <c r="O284" s="9">
        <v>2.22</v>
      </c>
      <c r="S284" s="7">
        <v>48.78</v>
      </c>
      <c r="T284" s="7">
        <v>30.58</v>
      </c>
      <c r="X284" s="10" t="s">
        <v>428</v>
      </c>
      <c r="Y284" s="11" t="s">
        <v>812</v>
      </c>
      <c r="Z284" t="s">
        <v>522</v>
      </c>
    </row>
    <row r="285" spans="1:26">
      <c r="A285">
        <v>255</v>
      </c>
      <c r="B285" t="s">
        <v>769</v>
      </c>
      <c r="C285" t="s">
        <v>770</v>
      </c>
      <c r="D285" t="s">
        <v>771</v>
      </c>
      <c r="E285" t="s">
        <v>733</v>
      </c>
      <c r="F285" t="s">
        <v>772</v>
      </c>
      <c r="G285" t="s">
        <v>475</v>
      </c>
      <c r="H285" t="s">
        <v>10</v>
      </c>
      <c r="I285">
        <v>0</v>
      </c>
      <c r="J285" t="s">
        <v>799</v>
      </c>
      <c r="K285" s="9">
        <v>6.8</v>
      </c>
      <c r="L285" s="9">
        <v>1.712</v>
      </c>
      <c r="M285" s="9">
        <v>1.897</v>
      </c>
      <c r="N285" t="s">
        <v>14</v>
      </c>
      <c r="S285" s="7">
        <v>48.01</v>
      </c>
      <c r="T285" s="7">
        <v>25.18</v>
      </c>
      <c r="X285" s="10" t="s">
        <v>483</v>
      </c>
      <c r="Y285" s="11" t="s">
        <v>800</v>
      </c>
      <c r="Z285" t="s">
        <v>522</v>
      </c>
    </row>
    <row r="286" spans="1:26">
      <c r="A286">
        <v>256</v>
      </c>
      <c r="B286" t="s">
        <v>769</v>
      </c>
      <c r="C286" t="s">
        <v>770</v>
      </c>
      <c r="D286" t="s">
        <v>771</v>
      </c>
      <c r="E286" t="s">
        <v>733</v>
      </c>
      <c r="F286" t="s">
        <v>772</v>
      </c>
      <c r="G286" t="s">
        <v>150</v>
      </c>
      <c r="H286" t="s">
        <v>10</v>
      </c>
      <c r="I286">
        <v>0</v>
      </c>
      <c r="J286" t="s">
        <v>807</v>
      </c>
      <c r="K286" s="9">
        <v>7.012</v>
      </c>
      <c r="L286" s="9">
        <v>1.831</v>
      </c>
      <c r="M286" s="9">
        <v>2.026</v>
      </c>
      <c r="N286" t="s">
        <v>14</v>
      </c>
      <c r="O286" s="9">
        <v>2.54</v>
      </c>
      <c r="S286" s="7">
        <v>48.99</v>
      </c>
      <c r="T286" s="7">
        <v>26.11</v>
      </c>
      <c r="X286" s="10" t="s">
        <v>428</v>
      </c>
      <c r="Y286" s="11" t="s">
        <v>808</v>
      </c>
      <c r="Z286" t="s">
        <v>522</v>
      </c>
    </row>
    <row r="287" spans="1:26">
      <c r="A287">
        <v>257</v>
      </c>
      <c r="B287" t="s">
        <v>769</v>
      </c>
      <c r="C287" t="s">
        <v>770</v>
      </c>
      <c r="D287" t="s">
        <v>771</v>
      </c>
      <c r="E287" t="s">
        <v>733</v>
      </c>
      <c r="F287" t="s">
        <v>772</v>
      </c>
      <c r="G287" t="s">
        <v>155</v>
      </c>
      <c r="H287" t="s">
        <v>10</v>
      </c>
      <c r="I287">
        <v>0</v>
      </c>
      <c r="J287" t="s">
        <v>809</v>
      </c>
      <c r="K287" s="9">
        <v>7.91</v>
      </c>
      <c r="L287" s="9">
        <v>2.523</v>
      </c>
      <c r="M287" s="9">
        <v>2.806</v>
      </c>
      <c r="N287" t="s">
        <v>14</v>
      </c>
      <c r="O287" s="9">
        <v>3.51</v>
      </c>
      <c r="S287" s="7">
        <v>49.9</v>
      </c>
      <c r="T287" s="7">
        <v>31.9</v>
      </c>
      <c r="X287" s="10" t="s">
        <v>428</v>
      </c>
      <c r="Y287" s="11" t="s">
        <v>810</v>
      </c>
      <c r="Z287" t="s">
        <v>522</v>
      </c>
    </row>
    <row r="288" spans="1:26">
      <c r="A288">
        <v>402</v>
      </c>
      <c r="B288" t="s">
        <v>813</v>
      </c>
      <c r="C288" t="s">
        <v>813</v>
      </c>
      <c r="D288" t="s">
        <v>814</v>
      </c>
      <c r="E288" t="s">
        <v>733</v>
      </c>
      <c r="F288" t="s">
        <v>815</v>
      </c>
      <c r="G288" t="s">
        <v>146</v>
      </c>
      <c r="H288" t="s">
        <v>10</v>
      </c>
      <c r="I288">
        <v>0</v>
      </c>
      <c r="J288" t="s">
        <v>147</v>
      </c>
      <c r="K288" s="9">
        <v>4.834830019243104</v>
      </c>
      <c r="L288" s="9">
        <v>0.3269082745349583</v>
      </c>
      <c r="M288" s="9">
        <v>0.2412123155869147</v>
      </c>
      <c r="N288" t="s">
        <v>14</v>
      </c>
      <c r="O288" s="9">
        <v>0.109</v>
      </c>
      <c r="S288" s="7">
        <v>17.04</v>
      </c>
      <c r="T288" s="7">
        <v>6.76</v>
      </c>
      <c r="X288" s="10" t="s">
        <v>816</v>
      </c>
      <c r="Y288" s="11" t="s">
        <v>817</v>
      </c>
      <c r="Z288" t="s">
        <v>818</v>
      </c>
    </row>
    <row r="289" spans="1:26">
      <c r="A289">
        <v>403</v>
      </c>
      <c r="B289" t="s">
        <v>813</v>
      </c>
      <c r="C289" t="s">
        <v>813</v>
      </c>
      <c r="D289" t="s">
        <v>814</v>
      </c>
      <c r="E289" t="s">
        <v>733</v>
      </c>
      <c r="F289" t="s">
        <v>815</v>
      </c>
      <c r="G289" t="s">
        <v>150</v>
      </c>
      <c r="H289" t="s">
        <v>10</v>
      </c>
      <c r="I289">
        <v>0</v>
      </c>
      <c r="J289" t="s">
        <v>247</v>
      </c>
      <c r="K289" s="9">
        <v>5.507833809070726</v>
      </c>
      <c r="L289" s="9">
        <v>0.5548049476688867</v>
      </c>
      <c r="M289" s="9">
        <v>0.4482080558198541</v>
      </c>
      <c r="N289" t="s">
        <v>14</v>
      </c>
      <c r="O289" s="9">
        <v>0.195</v>
      </c>
      <c r="S289" s="7">
        <v>20.05</v>
      </c>
      <c r="T289" s="7">
        <v>10.07</v>
      </c>
      <c r="X289" s="10" t="s">
        <v>819</v>
      </c>
      <c r="Y289" s="11" t="s">
        <v>817</v>
      </c>
      <c r="Z289" t="s">
        <v>818</v>
      </c>
    </row>
    <row r="290" spans="1:26">
      <c r="A290">
        <v>404</v>
      </c>
      <c r="B290" t="s">
        <v>813</v>
      </c>
      <c r="C290" t="s">
        <v>813</v>
      </c>
      <c r="D290" t="s">
        <v>814</v>
      </c>
      <c r="E290" t="s">
        <v>733</v>
      </c>
      <c r="F290" t="s">
        <v>815</v>
      </c>
      <c r="G290" t="s">
        <v>155</v>
      </c>
      <c r="H290" t="s">
        <v>10</v>
      </c>
      <c r="I290">
        <v>0</v>
      </c>
      <c r="J290" t="s">
        <v>335</v>
      </c>
      <c r="K290" s="9">
        <v>6.048243114909782</v>
      </c>
      <c r="L290" s="9">
        <v>0.6690091801202913</v>
      </c>
      <c r="M290" s="9">
        <v>0.6669199113643558</v>
      </c>
      <c r="N290" t="s">
        <v>14</v>
      </c>
      <c r="O290" s="9">
        <v>0.292</v>
      </c>
      <c r="S290" s="7">
        <v>21.01</v>
      </c>
      <c r="T290" s="7">
        <v>11.06</v>
      </c>
      <c r="X290" s="10" t="s">
        <v>820</v>
      </c>
      <c r="Y290" s="11" t="s">
        <v>817</v>
      </c>
      <c r="Z290" t="s">
        <v>818</v>
      </c>
    </row>
    <row r="291" spans="1:26">
      <c r="A291">
        <v>324</v>
      </c>
      <c r="B291" t="s">
        <v>821</v>
      </c>
      <c r="C291" t="s">
        <v>821</v>
      </c>
      <c r="D291" t="s">
        <v>822</v>
      </c>
      <c r="E291" t="s">
        <v>733</v>
      </c>
      <c r="F291" t="s">
        <v>823</v>
      </c>
      <c r="G291" t="s">
        <v>50</v>
      </c>
      <c r="H291" t="s">
        <v>10</v>
      </c>
      <c r="I291">
        <v>0</v>
      </c>
      <c r="J291" t="s">
        <v>81</v>
      </c>
      <c r="K291" s="9">
        <v>1.53862</v>
      </c>
      <c r="M291" s="9">
        <v>0.420567</v>
      </c>
      <c r="N291" t="s">
        <v>14</v>
      </c>
      <c r="O291" s="9">
        <v>2.69</v>
      </c>
      <c r="X291" s="10" t="s">
        <v>428</v>
      </c>
      <c r="Y291" s="11" t="s">
        <v>824</v>
      </c>
      <c r="Z291" t="s">
        <v>522</v>
      </c>
    </row>
    <row r="292" spans="1:26">
      <c r="A292">
        <v>325</v>
      </c>
      <c r="B292" t="s">
        <v>821</v>
      </c>
      <c r="C292" t="s">
        <v>821</v>
      </c>
      <c r="D292" t="s">
        <v>822</v>
      </c>
      <c r="E292" t="s">
        <v>733</v>
      </c>
      <c r="F292" t="s">
        <v>823</v>
      </c>
      <c r="G292" t="s">
        <v>57</v>
      </c>
      <c r="H292" t="s">
        <v>10</v>
      </c>
      <c r="I292">
        <v>0</v>
      </c>
      <c r="J292" t="s">
        <v>825</v>
      </c>
      <c r="K292" s="9">
        <v>1.65087</v>
      </c>
      <c r="M292" s="9">
        <v>0.457251</v>
      </c>
      <c r="N292" t="s">
        <v>14</v>
      </c>
      <c r="O292" s="9">
        <v>2.94</v>
      </c>
      <c r="X292" s="10" t="s">
        <v>428</v>
      </c>
      <c r="Y292" s="11" t="s">
        <v>826</v>
      </c>
      <c r="Z292" t="s">
        <v>522</v>
      </c>
    </row>
    <row r="293" spans="1:26">
      <c r="A293">
        <v>326</v>
      </c>
      <c r="B293" t="s">
        <v>821</v>
      </c>
      <c r="C293" t="s">
        <v>821</v>
      </c>
      <c r="D293" t="s">
        <v>822</v>
      </c>
      <c r="E293" t="s">
        <v>733</v>
      </c>
      <c r="F293" t="s">
        <v>823</v>
      </c>
      <c r="G293" t="s">
        <v>62</v>
      </c>
      <c r="H293" t="s">
        <v>10</v>
      </c>
      <c r="I293">
        <v>0</v>
      </c>
      <c r="J293" t="s">
        <v>735</v>
      </c>
      <c r="K293" s="9">
        <v>1.423964</v>
      </c>
      <c r="M293" s="9">
        <v>0.457251</v>
      </c>
      <c r="N293" t="s">
        <v>14</v>
      </c>
      <c r="O293" s="9">
        <v>0.5</v>
      </c>
      <c r="X293" s="10" t="s">
        <v>428</v>
      </c>
      <c r="Y293" s="11" t="s">
        <v>827</v>
      </c>
      <c r="Z293" t="s">
        <v>522</v>
      </c>
    </row>
    <row r="294" spans="1:26">
      <c r="A294">
        <v>327</v>
      </c>
      <c r="B294" t="s">
        <v>821</v>
      </c>
      <c r="C294" t="s">
        <v>821</v>
      </c>
      <c r="D294" t="s">
        <v>822</v>
      </c>
      <c r="E294" t="s">
        <v>733</v>
      </c>
      <c r="F294" t="s">
        <v>823</v>
      </c>
      <c r="G294" t="s">
        <v>66</v>
      </c>
      <c r="H294" t="s">
        <v>10</v>
      </c>
      <c r="I294">
        <v>0</v>
      </c>
      <c r="J294" t="s">
        <v>828</v>
      </c>
      <c r="K294" s="9">
        <v>1.459593</v>
      </c>
      <c r="M294" s="9">
        <v>0.411253</v>
      </c>
      <c r="N294" t="s">
        <v>14</v>
      </c>
      <c r="X294" s="10" t="s">
        <v>829</v>
      </c>
      <c r="Y294" s="11" t="s">
        <v>830</v>
      </c>
      <c r="Z294" t="s">
        <v>522</v>
      </c>
    </row>
    <row r="295" spans="1:26">
      <c r="A295">
        <v>328</v>
      </c>
      <c r="B295" t="s">
        <v>821</v>
      </c>
      <c r="C295" t="s">
        <v>821</v>
      </c>
      <c r="D295" t="s">
        <v>822</v>
      </c>
      <c r="E295" t="s">
        <v>733</v>
      </c>
      <c r="F295" t="s">
        <v>823</v>
      </c>
      <c r="G295" t="s">
        <v>71</v>
      </c>
      <c r="H295" t="s">
        <v>10</v>
      </c>
      <c r="I295">
        <v>0</v>
      </c>
      <c r="J295" t="s">
        <v>597</v>
      </c>
      <c r="K295" s="9">
        <v>2.083838</v>
      </c>
      <c r="M295" s="9">
        <v>1.068417</v>
      </c>
      <c r="N295" t="s">
        <v>14</v>
      </c>
      <c r="O295" s="9">
        <v>6.96</v>
      </c>
      <c r="X295" s="10" t="s">
        <v>428</v>
      </c>
      <c r="Y295" s="11" t="s">
        <v>831</v>
      </c>
      <c r="Z295" t="s">
        <v>522</v>
      </c>
    </row>
    <row r="296" spans="1:26">
      <c r="A296">
        <v>329</v>
      </c>
      <c r="B296" t="s">
        <v>821</v>
      </c>
      <c r="C296" t="s">
        <v>821</v>
      </c>
      <c r="D296" t="s">
        <v>822</v>
      </c>
      <c r="E296" t="s">
        <v>733</v>
      </c>
      <c r="F296" t="s">
        <v>823</v>
      </c>
      <c r="G296" t="s">
        <v>75</v>
      </c>
      <c r="H296" t="s">
        <v>10</v>
      </c>
      <c r="I296">
        <v>0</v>
      </c>
      <c r="J296" t="s">
        <v>591</v>
      </c>
      <c r="K296" s="9">
        <v>2.35263</v>
      </c>
      <c r="M296" s="9">
        <v>0.717444</v>
      </c>
      <c r="N296" t="s">
        <v>14</v>
      </c>
      <c r="O296" s="9">
        <v>4.71</v>
      </c>
      <c r="X296" s="10" t="s">
        <v>428</v>
      </c>
      <c r="Y296" s="11" t="s">
        <v>832</v>
      </c>
      <c r="Z296" t="s">
        <v>522</v>
      </c>
    </row>
    <row r="297" spans="1:26">
      <c r="A297">
        <v>330</v>
      </c>
      <c r="B297" t="s">
        <v>821</v>
      </c>
      <c r="C297" t="s">
        <v>821</v>
      </c>
      <c r="D297" t="s">
        <v>822</v>
      </c>
      <c r="E297" t="s">
        <v>733</v>
      </c>
      <c r="F297" t="s">
        <v>823</v>
      </c>
      <c r="G297" t="s">
        <v>80</v>
      </c>
      <c r="H297" t="s">
        <v>10</v>
      </c>
      <c r="I297">
        <v>0</v>
      </c>
      <c r="J297" t="s">
        <v>593</v>
      </c>
      <c r="K297" s="9">
        <v>1.803773</v>
      </c>
      <c r="M297" s="9">
        <v>0.717444</v>
      </c>
      <c r="N297" t="s">
        <v>14</v>
      </c>
      <c r="O297" s="9">
        <v>3.66</v>
      </c>
      <c r="X297" s="10" t="s">
        <v>428</v>
      </c>
      <c r="Y297" s="11" t="s">
        <v>833</v>
      </c>
      <c r="Z297" t="s">
        <v>522</v>
      </c>
    </row>
    <row r="298" spans="1:26">
      <c r="A298">
        <v>331</v>
      </c>
      <c r="B298" t="s">
        <v>821</v>
      </c>
      <c r="C298" t="s">
        <v>821</v>
      </c>
      <c r="D298" t="s">
        <v>822</v>
      </c>
      <c r="E298" t="s">
        <v>733</v>
      </c>
      <c r="F298" t="s">
        <v>823</v>
      </c>
      <c r="G298" t="s">
        <v>85</v>
      </c>
      <c r="H298" t="s">
        <v>10</v>
      </c>
      <c r="I298">
        <v>0</v>
      </c>
      <c r="J298" t="s">
        <v>834</v>
      </c>
      <c r="K298" s="9">
        <v>1.925471</v>
      </c>
      <c r="M298" s="9">
        <v>0.632978</v>
      </c>
      <c r="N298" t="s">
        <v>14</v>
      </c>
      <c r="X298" s="10" t="s">
        <v>829</v>
      </c>
      <c r="Y298" s="11" t="s">
        <v>835</v>
      </c>
      <c r="Z298" t="s">
        <v>522</v>
      </c>
    </row>
    <row r="299" spans="1:26">
      <c r="A299">
        <v>332</v>
      </c>
      <c r="B299" t="s">
        <v>821</v>
      </c>
      <c r="C299" t="s">
        <v>821</v>
      </c>
      <c r="D299" t="s">
        <v>822</v>
      </c>
      <c r="E299" t="s">
        <v>733</v>
      </c>
      <c r="F299" t="s">
        <v>823</v>
      </c>
      <c r="G299" t="s">
        <v>89</v>
      </c>
      <c r="H299" t="s">
        <v>10</v>
      </c>
      <c r="I299">
        <v>0</v>
      </c>
      <c r="J299" t="s">
        <v>605</v>
      </c>
      <c r="K299" s="9">
        <v>2.724424</v>
      </c>
      <c r="M299" s="9">
        <v>1.025991</v>
      </c>
      <c r="N299" t="s">
        <v>14</v>
      </c>
      <c r="O299" s="9">
        <v>7.2</v>
      </c>
      <c r="X299" s="10" t="s">
        <v>428</v>
      </c>
      <c r="Y299" s="11" t="s">
        <v>836</v>
      </c>
      <c r="Z299" t="s">
        <v>522</v>
      </c>
    </row>
    <row r="300" spans="1:26">
      <c r="A300">
        <v>333</v>
      </c>
      <c r="B300" t="s">
        <v>821</v>
      </c>
      <c r="C300" t="s">
        <v>821</v>
      </c>
      <c r="D300" t="s">
        <v>822</v>
      </c>
      <c r="E300" t="s">
        <v>733</v>
      </c>
      <c r="F300" t="s">
        <v>823</v>
      </c>
      <c r="G300" t="s">
        <v>93</v>
      </c>
      <c r="H300" t="s">
        <v>10</v>
      </c>
      <c r="I300">
        <v>0</v>
      </c>
      <c r="J300" t="s">
        <v>599</v>
      </c>
      <c r="K300" s="9">
        <v>2.983887</v>
      </c>
      <c r="M300" s="9">
        <v>0.978795</v>
      </c>
      <c r="N300" t="s">
        <v>14</v>
      </c>
      <c r="O300" s="9">
        <v>6.89</v>
      </c>
      <c r="X300" s="10" t="s">
        <v>428</v>
      </c>
      <c r="Y300" s="11" t="s">
        <v>837</v>
      </c>
      <c r="Z300" t="s">
        <v>522</v>
      </c>
    </row>
    <row r="301" spans="1:26">
      <c r="A301">
        <v>334</v>
      </c>
      <c r="B301" t="s">
        <v>821</v>
      </c>
      <c r="C301" t="s">
        <v>821</v>
      </c>
      <c r="D301" t="s">
        <v>822</v>
      </c>
      <c r="E301" t="s">
        <v>733</v>
      </c>
      <c r="F301" t="s">
        <v>823</v>
      </c>
      <c r="G301" t="s">
        <v>98</v>
      </c>
      <c r="H301" t="s">
        <v>10</v>
      </c>
      <c r="I301">
        <v>0</v>
      </c>
      <c r="J301" t="s">
        <v>601</v>
      </c>
      <c r="K301" s="9">
        <v>2.288676</v>
      </c>
      <c r="M301" s="9">
        <v>0.978795</v>
      </c>
      <c r="N301" t="s">
        <v>14</v>
      </c>
      <c r="O301" s="9">
        <v>4.83</v>
      </c>
      <c r="X301" s="10" t="s">
        <v>428</v>
      </c>
      <c r="Y301" s="11" t="s">
        <v>838</v>
      </c>
      <c r="Z301" t="s">
        <v>522</v>
      </c>
    </row>
    <row r="302" spans="1:26">
      <c r="A302">
        <v>335</v>
      </c>
      <c r="B302" t="s">
        <v>821</v>
      </c>
      <c r="C302" t="s">
        <v>821</v>
      </c>
      <c r="D302" t="s">
        <v>822</v>
      </c>
      <c r="E302" t="s">
        <v>733</v>
      </c>
      <c r="F302" t="s">
        <v>823</v>
      </c>
      <c r="G302" t="s">
        <v>103</v>
      </c>
      <c r="H302" t="s">
        <v>10</v>
      </c>
      <c r="I302">
        <v>0</v>
      </c>
      <c r="J302" t="s">
        <v>839</v>
      </c>
      <c r="K302" s="9">
        <v>2.486739</v>
      </c>
      <c r="M302" s="9">
        <v>0.805374</v>
      </c>
      <c r="N302" t="s">
        <v>14</v>
      </c>
      <c r="X302" s="10" t="s">
        <v>829</v>
      </c>
      <c r="Y302" s="11" t="s">
        <v>840</v>
      </c>
      <c r="Z302" t="s">
        <v>522</v>
      </c>
    </row>
    <row r="303" spans="1:26">
      <c r="A303">
        <v>336</v>
      </c>
      <c r="B303" t="s">
        <v>821</v>
      </c>
      <c r="C303" t="s">
        <v>821</v>
      </c>
      <c r="D303" t="s">
        <v>822</v>
      </c>
      <c r="E303" t="s">
        <v>733</v>
      </c>
      <c r="F303" t="s">
        <v>823</v>
      </c>
      <c r="G303" t="s">
        <v>107</v>
      </c>
      <c r="H303" t="s">
        <v>10</v>
      </c>
      <c r="I303">
        <v>0</v>
      </c>
      <c r="J303" t="s">
        <v>134</v>
      </c>
      <c r="K303" s="9">
        <v>2.396956</v>
      </c>
      <c r="M303" s="9">
        <v>0.741375</v>
      </c>
      <c r="N303" t="s">
        <v>14</v>
      </c>
      <c r="O303" s="9">
        <v>5.41</v>
      </c>
      <c r="X303" s="10" t="s">
        <v>428</v>
      </c>
      <c r="Y303" s="11" t="s">
        <v>841</v>
      </c>
      <c r="Z303" t="s">
        <v>522</v>
      </c>
    </row>
    <row r="304" spans="1:26">
      <c r="A304">
        <v>337</v>
      </c>
      <c r="B304" t="s">
        <v>821</v>
      </c>
      <c r="C304" t="s">
        <v>821</v>
      </c>
      <c r="D304" t="s">
        <v>822</v>
      </c>
      <c r="E304" t="s">
        <v>733</v>
      </c>
      <c r="F304" t="s">
        <v>823</v>
      </c>
      <c r="G304" t="s">
        <v>112</v>
      </c>
      <c r="H304" t="s">
        <v>10</v>
      </c>
      <c r="I304">
        <v>0</v>
      </c>
      <c r="J304" t="s">
        <v>607</v>
      </c>
      <c r="K304" s="9">
        <v>2.486726</v>
      </c>
      <c r="M304" s="9">
        <v>0.582534</v>
      </c>
      <c r="N304" t="s">
        <v>14</v>
      </c>
      <c r="O304" s="9">
        <v>4.28</v>
      </c>
      <c r="X304" s="10" t="s">
        <v>428</v>
      </c>
      <c r="Y304" s="11" t="s">
        <v>842</v>
      </c>
      <c r="Z304" t="s">
        <v>522</v>
      </c>
    </row>
    <row r="305" spans="1:26">
      <c r="A305">
        <v>338</v>
      </c>
      <c r="B305" t="s">
        <v>821</v>
      </c>
      <c r="C305" t="s">
        <v>821</v>
      </c>
      <c r="D305" t="s">
        <v>822</v>
      </c>
      <c r="E305" t="s">
        <v>733</v>
      </c>
      <c r="F305" t="s">
        <v>823</v>
      </c>
      <c r="G305" t="s">
        <v>116</v>
      </c>
      <c r="H305" t="s">
        <v>10</v>
      </c>
      <c r="I305">
        <v>0</v>
      </c>
      <c r="J305" t="s">
        <v>609</v>
      </c>
      <c r="K305" s="9">
        <v>2.432608</v>
      </c>
      <c r="M305" s="9">
        <v>0.582534</v>
      </c>
      <c r="N305" t="s">
        <v>14</v>
      </c>
      <c r="O305" s="9">
        <v>5.03</v>
      </c>
      <c r="X305" s="10" t="s">
        <v>428</v>
      </c>
      <c r="Y305" s="11" t="s">
        <v>843</v>
      </c>
      <c r="Z305" t="s">
        <v>522</v>
      </c>
    </row>
    <row r="306" spans="1:26">
      <c r="A306">
        <v>339</v>
      </c>
      <c r="B306" t="s">
        <v>821</v>
      </c>
      <c r="C306" t="s">
        <v>821</v>
      </c>
      <c r="D306" t="s">
        <v>822</v>
      </c>
      <c r="E306" t="s">
        <v>733</v>
      </c>
      <c r="F306" t="s">
        <v>823</v>
      </c>
      <c r="G306" t="s">
        <v>120</v>
      </c>
      <c r="H306" t="s">
        <v>10</v>
      </c>
      <c r="I306">
        <v>0</v>
      </c>
      <c r="J306" t="s">
        <v>844</v>
      </c>
      <c r="K306" s="9">
        <v>2.355137</v>
      </c>
      <c r="M306" s="9">
        <v>0.684654</v>
      </c>
      <c r="N306" t="s">
        <v>14</v>
      </c>
      <c r="X306" s="10" t="s">
        <v>829</v>
      </c>
      <c r="Y306" s="11" t="s">
        <v>845</v>
      </c>
      <c r="Z306" t="s">
        <v>522</v>
      </c>
    </row>
    <row r="307" spans="1:26">
      <c r="A307">
        <v>340</v>
      </c>
      <c r="B307" t="s">
        <v>821</v>
      </c>
      <c r="C307" t="s">
        <v>821</v>
      </c>
      <c r="D307" t="s">
        <v>822</v>
      </c>
      <c r="E307" t="s">
        <v>733</v>
      </c>
      <c r="F307" t="s">
        <v>823</v>
      </c>
      <c r="G307" t="s">
        <v>124</v>
      </c>
      <c r="H307" t="s">
        <v>10</v>
      </c>
      <c r="I307">
        <v>0</v>
      </c>
      <c r="J307" t="s">
        <v>846</v>
      </c>
      <c r="K307" s="9">
        <v>2.841541</v>
      </c>
      <c r="M307" s="9">
        <v>0.945851</v>
      </c>
      <c r="N307" t="s">
        <v>14</v>
      </c>
      <c r="O307" s="9">
        <v>7.01</v>
      </c>
      <c r="X307" s="10" t="s">
        <v>428</v>
      </c>
      <c r="Y307" s="11" t="s">
        <v>847</v>
      </c>
      <c r="Z307" t="s">
        <v>522</v>
      </c>
    </row>
    <row r="308" spans="1:26">
      <c r="A308">
        <v>341</v>
      </c>
      <c r="B308" t="s">
        <v>821</v>
      </c>
      <c r="C308" t="s">
        <v>821</v>
      </c>
      <c r="D308" t="s">
        <v>822</v>
      </c>
      <c r="E308" t="s">
        <v>733</v>
      </c>
      <c r="F308" t="s">
        <v>823</v>
      </c>
      <c r="G308" t="s">
        <v>128</v>
      </c>
      <c r="H308" t="s">
        <v>10</v>
      </c>
      <c r="I308">
        <v>0</v>
      </c>
      <c r="J308" t="s">
        <v>848</v>
      </c>
      <c r="K308" s="9">
        <v>3.076851</v>
      </c>
      <c r="M308" s="9">
        <v>0.824527</v>
      </c>
      <c r="N308" t="s">
        <v>14</v>
      </c>
      <c r="O308" s="9">
        <v>6.16</v>
      </c>
      <c r="X308" s="10" t="s">
        <v>428</v>
      </c>
      <c r="Y308" s="11" t="s">
        <v>849</v>
      </c>
      <c r="Z308" t="s">
        <v>522</v>
      </c>
    </row>
    <row r="309" spans="1:26">
      <c r="A309">
        <v>342</v>
      </c>
      <c r="B309" t="s">
        <v>821</v>
      </c>
      <c r="C309" t="s">
        <v>821</v>
      </c>
      <c r="D309" t="s">
        <v>822</v>
      </c>
      <c r="E309" t="s">
        <v>733</v>
      </c>
      <c r="F309" t="s">
        <v>823</v>
      </c>
      <c r="G309" t="s">
        <v>133</v>
      </c>
      <c r="H309" t="s">
        <v>10</v>
      </c>
      <c r="I309">
        <v>0</v>
      </c>
      <c r="J309" t="s">
        <v>142</v>
      </c>
      <c r="K309" s="9">
        <v>2.35983</v>
      </c>
      <c r="M309" s="9">
        <v>0.824527</v>
      </c>
      <c r="N309" t="s">
        <v>14</v>
      </c>
      <c r="O309" s="9">
        <v>4.43</v>
      </c>
      <c r="X309" s="10" t="s">
        <v>428</v>
      </c>
      <c r="Y309" s="11" t="s">
        <v>850</v>
      </c>
      <c r="Z309" t="s">
        <v>522</v>
      </c>
    </row>
    <row r="310" spans="1:26">
      <c r="A310">
        <v>343</v>
      </c>
      <c r="B310" t="s">
        <v>821</v>
      </c>
      <c r="C310" t="s">
        <v>821</v>
      </c>
      <c r="D310" t="s">
        <v>822</v>
      </c>
      <c r="E310" t="s">
        <v>733</v>
      </c>
      <c r="F310" t="s">
        <v>823</v>
      </c>
      <c r="G310" t="s">
        <v>137</v>
      </c>
      <c r="H310" t="s">
        <v>10</v>
      </c>
      <c r="I310">
        <v>0</v>
      </c>
      <c r="J310" t="s">
        <v>851</v>
      </c>
      <c r="K310" s="9">
        <v>2.568735</v>
      </c>
      <c r="M310" s="9">
        <v>0.836446</v>
      </c>
      <c r="N310" t="s">
        <v>14</v>
      </c>
      <c r="X310" s="10" t="s">
        <v>829</v>
      </c>
      <c r="Y310" s="11" t="s">
        <v>852</v>
      </c>
      <c r="Z310" t="s">
        <v>522</v>
      </c>
    </row>
    <row r="311" spans="1:26">
      <c r="A311">
        <v>344</v>
      </c>
      <c r="B311" t="s">
        <v>821</v>
      </c>
      <c r="C311" t="s">
        <v>821</v>
      </c>
      <c r="D311" t="s">
        <v>822</v>
      </c>
      <c r="E311" t="s">
        <v>733</v>
      </c>
      <c r="F311" t="s">
        <v>823</v>
      </c>
      <c r="G311" t="s">
        <v>141</v>
      </c>
      <c r="H311" t="s">
        <v>10</v>
      </c>
      <c r="I311">
        <v>0</v>
      </c>
      <c r="J311" t="s">
        <v>846</v>
      </c>
      <c r="K311" s="9">
        <v>3.209696</v>
      </c>
      <c r="M311" s="9">
        <v>1.12104</v>
      </c>
      <c r="N311" t="s">
        <v>14</v>
      </c>
      <c r="O311" s="9">
        <v>8.470000000000001</v>
      </c>
      <c r="X311" s="10" t="s">
        <v>428</v>
      </c>
      <c r="Y311" s="11" t="s">
        <v>847</v>
      </c>
      <c r="Z311" t="s">
        <v>522</v>
      </c>
    </row>
    <row r="312" spans="1:26">
      <c r="A312">
        <v>345</v>
      </c>
      <c r="B312" t="s">
        <v>821</v>
      </c>
      <c r="C312" t="s">
        <v>821</v>
      </c>
      <c r="D312" t="s">
        <v>822</v>
      </c>
      <c r="E312" t="s">
        <v>733</v>
      </c>
      <c r="F312" t="s">
        <v>823</v>
      </c>
      <c r="G312" t="s">
        <v>146</v>
      </c>
      <c r="H312" t="s">
        <v>10</v>
      </c>
      <c r="I312">
        <v>0</v>
      </c>
      <c r="J312" t="s">
        <v>848</v>
      </c>
      <c r="K312" s="9">
        <v>3.297146</v>
      </c>
      <c r="M312" s="9">
        <v>1.145682</v>
      </c>
      <c r="N312" t="s">
        <v>14</v>
      </c>
      <c r="O312" s="9">
        <v>8.68</v>
      </c>
      <c r="X312" s="10" t="s">
        <v>428</v>
      </c>
      <c r="Y312" s="11" t="s">
        <v>849</v>
      </c>
      <c r="Z312" t="s">
        <v>522</v>
      </c>
    </row>
    <row r="313" spans="1:26">
      <c r="A313">
        <v>346</v>
      </c>
      <c r="B313" t="s">
        <v>821</v>
      </c>
      <c r="C313" t="s">
        <v>821</v>
      </c>
      <c r="D313" t="s">
        <v>822</v>
      </c>
      <c r="E313" t="s">
        <v>733</v>
      </c>
      <c r="F313" t="s">
        <v>823</v>
      </c>
      <c r="G313" t="s">
        <v>472</v>
      </c>
      <c r="H313" t="s">
        <v>10</v>
      </c>
      <c r="I313">
        <v>0</v>
      </c>
      <c r="J313" t="s">
        <v>151</v>
      </c>
      <c r="K313" s="9">
        <v>3.063029</v>
      </c>
      <c r="M313" s="9">
        <v>1.145682</v>
      </c>
      <c r="N313" t="s">
        <v>14</v>
      </c>
      <c r="O313" s="9">
        <v>8.16</v>
      </c>
      <c r="X313" s="10" t="s">
        <v>428</v>
      </c>
      <c r="Y313" s="11" t="s">
        <v>853</v>
      </c>
      <c r="Z313" t="s">
        <v>522</v>
      </c>
    </row>
    <row r="314" spans="1:26">
      <c r="A314">
        <v>347</v>
      </c>
      <c r="B314" t="s">
        <v>821</v>
      </c>
      <c r="C314" t="s">
        <v>821</v>
      </c>
      <c r="D314" t="s">
        <v>822</v>
      </c>
      <c r="E314" t="s">
        <v>733</v>
      </c>
      <c r="F314" t="s">
        <v>823</v>
      </c>
      <c r="G314" t="s">
        <v>475</v>
      </c>
      <c r="H314" t="s">
        <v>10</v>
      </c>
      <c r="I314">
        <v>0</v>
      </c>
      <c r="J314" t="s">
        <v>851</v>
      </c>
      <c r="K314" s="9">
        <v>3.174741</v>
      </c>
      <c r="M314" s="9">
        <v>1.202849</v>
      </c>
      <c r="N314" t="s">
        <v>14</v>
      </c>
      <c r="X314" s="10" t="s">
        <v>829</v>
      </c>
      <c r="Y314" s="11" t="s">
        <v>852</v>
      </c>
      <c r="Z314" t="s">
        <v>522</v>
      </c>
    </row>
    <row r="315" spans="1:26">
      <c r="A315">
        <v>348</v>
      </c>
      <c r="B315" t="s">
        <v>854</v>
      </c>
      <c r="C315" t="s">
        <v>855</v>
      </c>
      <c r="D315" t="s">
        <v>856</v>
      </c>
      <c r="E315" t="s">
        <v>733</v>
      </c>
      <c r="F315" t="s">
        <v>857</v>
      </c>
      <c r="G315" t="s">
        <v>50</v>
      </c>
      <c r="H315" t="s">
        <v>10</v>
      </c>
      <c r="I315">
        <v>0</v>
      </c>
      <c r="J315" t="s">
        <v>189</v>
      </c>
      <c r="K315" s="9">
        <v>3.17708</v>
      </c>
      <c r="L315" s="9">
        <v>0.961064</v>
      </c>
      <c r="M315" s="9">
        <v>0.823451</v>
      </c>
      <c r="N315" t="s">
        <v>14</v>
      </c>
      <c r="O315" s="9">
        <v>5.59</v>
      </c>
      <c r="S315" s="7">
        <v>47.41</v>
      </c>
      <c r="T315" s="7">
        <v>30.25</v>
      </c>
      <c r="X315" s="10" t="s">
        <v>428</v>
      </c>
      <c r="Y315" s="11" t="s">
        <v>858</v>
      </c>
      <c r="Z315" t="s">
        <v>522</v>
      </c>
    </row>
    <row r="316" spans="1:26">
      <c r="A316">
        <v>349</v>
      </c>
      <c r="B316" t="s">
        <v>854</v>
      </c>
      <c r="C316" t="s">
        <v>855</v>
      </c>
      <c r="D316" t="s">
        <v>856</v>
      </c>
      <c r="E316" t="s">
        <v>733</v>
      </c>
      <c r="F316" t="s">
        <v>857</v>
      </c>
      <c r="G316" t="s">
        <v>57</v>
      </c>
      <c r="H316" t="s">
        <v>10</v>
      </c>
      <c r="I316">
        <v>0</v>
      </c>
      <c r="J316" t="s">
        <v>192</v>
      </c>
      <c r="K316" s="9">
        <v>3.456237</v>
      </c>
      <c r="L316" s="9">
        <v>1.009724</v>
      </c>
      <c r="M316" s="9">
        <v>0.869229</v>
      </c>
      <c r="N316" t="s">
        <v>14</v>
      </c>
      <c r="O316" s="9">
        <v>5.96</v>
      </c>
      <c r="S316" s="7">
        <v>46.4</v>
      </c>
      <c r="T316" s="7">
        <v>29.21</v>
      </c>
      <c r="X316" s="10" t="s">
        <v>428</v>
      </c>
      <c r="Y316" s="11" t="s">
        <v>859</v>
      </c>
      <c r="Z316" t="s">
        <v>522</v>
      </c>
    </row>
    <row r="317" spans="1:26">
      <c r="A317">
        <v>350</v>
      </c>
      <c r="B317" t="s">
        <v>854</v>
      </c>
      <c r="C317" t="s">
        <v>855</v>
      </c>
      <c r="D317" t="s">
        <v>856</v>
      </c>
      <c r="E317" t="s">
        <v>733</v>
      </c>
      <c r="F317" t="s">
        <v>857</v>
      </c>
      <c r="G317" t="s">
        <v>62</v>
      </c>
      <c r="H317" t="s">
        <v>10</v>
      </c>
      <c r="I317">
        <v>0</v>
      </c>
      <c r="J317" t="s">
        <v>273</v>
      </c>
      <c r="K317" s="9">
        <v>2.503625</v>
      </c>
      <c r="L317" s="9">
        <v>0.694114</v>
      </c>
      <c r="M317" s="9">
        <v>0.574781</v>
      </c>
      <c r="N317" t="s">
        <v>14</v>
      </c>
      <c r="O317" s="9">
        <v>3.88</v>
      </c>
      <c r="S317" s="7">
        <v>46.61</v>
      </c>
      <c r="T317" s="7">
        <v>27.72</v>
      </c>
      <c r="X317" s="10" t="s">
        <v>428</v>
      </c>
      <c r="Y317" s="11" t="s">
        <v>860</v>
      </c>
      <c r="Z317" t="s">
        <v>522</v>
      </c>
    </row>
    <row r="318" spans="1:26">
      <c r="A318">
        <v>351</v>
      </c>
      <c r="B318" t="s">
        <v>854</v>
      </c>
      <c r="C318" t="s">
        <v>855</v>
      </c>
      <c r="D318" t="s">
        <v>856</v>
      </c>
      <c r="E318" t="s">
        <v>733</v>
      </c>
      <c r="F318" t="s">
        <v>857</v>
      </c>
      <c r="G318" t="s">
        <v>66</v>
      </c>
      <c r="H318" t="s">
        <v>10</v>
      </c>
      <c r="I318">
        <v>0</v>
      </c>
      <c r="J318" t="s">
        <v>666</v>
      </c>
      <c r="K318" s="9">
        <v>2.791864</v>
      </c>
      <c r="L318" s="9">
        <v>0.755722</v>
      </c>
      <c r="M318" s="9">
        <v>0.696673</v>
      </c>
      <c r="N318" t="s">
        <v>14</v>
      </c>
      <c r="S318" s="7">
        <v>45.86</v>
      </c>
      <c r="T318" s="7">
        <v>27.07</v>
      </c>
      <c r="X318" s="10" t="s">
        <v>483</v>
      </c>
      <c r="Y318" s="11" t="s">
        <v>861</v>
      </c>
      <c r="Z318" t="s">
        <v>522</v>
      </c>
    </row>
    <row r="319" spans="1:26">
      <c r="A319">
        <v>352</v>
      </c>
      <c r="B319" t="s">
        <v>854</v>
      </c>
      <c r="C319" t="s">
        <v>855</v>
      </c>
      <c r="D319" t="s">
        <v>856</v>
      </c>
      <c r="E319" t="s">
        <v>733</v>
      </c>
      <c r="F319" t="s">
        <v>857</v>
      </c>
      <c r="G319" t="s">
        <v>71</v>
      </c>
      <c r="H319" t="s">
        <v>10</v>
      </c>
      <c r="I319">
        <v>0</v>
      </c>
      <c r="J319" t="s">
        <v>862</v>
      </c>
      <c r="K319" s="9">
        <v>4.304465</v>
      </c>
      <c r="L319" s="9">
        <v>1.372233</v>
      </c>
      <c r="M319" s="9">
        <v>1.179744</v>
      </c>
      <c r="N319" t="s">
        <v>14</v>
      </c>
      <c r="O319" s="9">
        <v>8.27</v>
      </c>
      <c r="S319" s="7">
        <v>45.92</v>
      </c>
      <c r="T319" s="7">
        <v>31.88</v>
      </c>
      <c r="X319" s="10" t="s">
        <v>428</v>
      </c>
      <c r="Y319" s="11" t="s">
        <v>863</v>
      </c>
      <c r="Z319" t="s">
        <v>522</v>
      </c>
    </row>
    <row r="320" spans="1:26">
      <c r="A320">
        <v>353</v>
      </c>
      <c r="B320" t="s">
        <v>854</v>
      </c>
      <c r="C320" t="s">
        <v>855</v>
      </c>
      <c r="D320" t="s">
        <v>856</v>
      </c>
      <c r="E320" t="s">
        <v>733</v>
      </c>
      <c r="F320" t="s">
        <v>857</v>
      </c>
      <c r="G320" t="s">
        <v>75</v>
      </c>
      <c r="H320" t="s">
        <v>10</v>
      </c>
      <c r="I320">
        <v>0</v>
      </c>
      <c r="J320" t="s">
        <v>864</v>
      </c>
      <c r="K320" s="9">
        <v>4.226604</v>
      </c>
      <c r="L320" s="9">
        <v>1.338139</v>
      </c>
      <c r="M320" s="9">
        <v>1.19483</v>
      </c>
      <c r="N320" t="s">
        <v>14</v>
      </c>
      <c r="O320" s="9">
        <v>8.44</v>
      </c>
      <c r="S320" s="7">
        <v>46.8</v>
      </c>
      <c r="T320" s="7">
        <v>31.66</v>
      </c>
      <c r="X320" s="10" t="s">
        <v>428</v>
      </c>
      <c r="Y320" s="11" t="s">
        <v>865</v>
      </c>
      <c r="Z320" t="s">
        <v>522</v>
      </c>
    </row>
    <row r="321" spans="1:26">
      <c r="A321">
        <v>354</v>
      </c>
      <c r="B321" t="s">
        <v>854</v>
      </c>
      <c r="C321" t="s">
        <v>855</v>
      </c>
      <c r="D321" t="s">
        <v>856</v>
      </c>
      <c r="E321" t="s">
        <v>733</v>
      </c>
      <c r="F321" t="s">
        <v>857</v>
      </c>
      <c r="G321" t="s">
        <v>80</v>
      </c>
      <c r="H321" t="s">
        <v>10</v>
      </c>
      <c r="I321">
        <v>0</v>
      </c>
      <c r="J321" t="s">
        <v>195</v>
      </c>
      <c r="K321" s="9">
        <v>3.847654</v>
      </c>
      <c r="L321" s="9">
        <v>1.195308</v>
      </c>
      <c r="M321" s="9">
        <v>1.071121</v>
      </c>
      <c r="N321" t="s">
        <v>14</v>
      </c>
      <c r="O321" s="9">
        <v>7.41</v>
      </c>
      <c r="S321" s="7">
        <v>46.27</v>
      </c>
      <c r="T321" s="7">
        <v>31.07</v>
      </c>
      <c r="X321" s="10" t="s">
        <v>428</v>
      </c>
      <c r="Y321" s="11" t="s">
        <v>866</v>
      </c>
      <c r="Z321" t="s">
        <v>522</v>
      </c>
    </row>
    <row r="322" spans="1:26">
      <c r="A322">
        <v>355</v>
      </c>
      <c r="B322" t="s">
        <v>854</v>
      </c>
      <c r="C322" t="s">
        <v>855</v>
      </c>
      <c r="D322" t="s">
        <v>856</v>
      </c>
      <c r="E322" t="s">
        <v>733</v>
      </c>
      <c r="F322" t="s">
        <v>857</v>
      </c>
      <c r="G322" t="s">
        <v>85</v>
      </c>
      <c r="H322" t="s">
        <v>10</v>
      </c>
      <c r="I322">
        <v>0</v>
      </c>
      <c r="J322" t="s">
        <v>867</v>
      </c>
      <c r="K322" s="9">
        <v>4.145179</v>
      </c>
      <c r="L322" s="9">
        <v>1.315927</v>
      </c>
      <c r="M322" s="9">
        <v>1.144657</v>
      </c>
      <c r="N322" t="s">
        <v>14</v>
      </c>
      <c r="S322" s="7">
        <v>46.2</v>
      </c>
      <c r="T322" s="7">
        <v>31.75</v>
      </c>
      <c r="X322" s="10" t="s">
        <v>483</v>
      </c>
      <c r="Y322" s="11" t="s">
        <v>868</v>
      </c>
      <c r="Z322" t="s">
        <v>522</v>
      </c>
    </row>
    <row r="323" spans="1:26">
      <c r="A323">
        <v>356</v>
      </c>
      <c r="B323" t="s">
        <v>854</v>
      </c>
      <c r="C323" t="s">
        <v>855</v>
      </c>
      <c r="D323" t="s">
        <v>856</v>
      </c>
      <c r="E323" t="s">
        <v>733</v>
      </c>
      <c r="F323" t="s">
        <v>857</v>
      </c>
      <c r="G323" t="s">
        <v>89</v>
      </c>
      <c r="H323" t="s">
        <v>10</v>
      </c>
      <c r="I323">
        <v>0</v>
      </c>
      <c r="J323" t="s">
        <v>869</v>
      </c>
      <c r="K323" s="9">
        <v>5.074121</v>
      </c>
      <c r="L323" s="9">
        <v>1.69784</v>
      </c>
      <c r="M323" s="9">
        <v>1.425879</v>
      </c>
      <c r="N323" t="s">
        <v>14</v>
      </c>
      <c r="O323" s="9">
        <v>10.39</v>
      </c>
      <c r="S323" s="7">
        <v>46.05</v>
      </c>
      <c r="T323" s="7">
        <v>33.46</v>
      </c>
      <c r="X323" s="10" t="s">
        <v>428</v>
      </c>
      <c r="Y323" s="11" t="s">
        <v>870</v>
      </c>
      <c r="Z323" t="s">
        <v>522</v>
      </c>
    </row>
    <row r="324" spans="1:26">
      <c r="A324">
        <v>357</v>
      </c>
      <c r="B324" t="s">
        <v>854</v>
      </c>
      <c r="C324" t="s">
        <v>855</v>
      </c>
      <c r="D324" t="s">
        <v>856</v>
      </c>
      <c r="E324" t="s">
        <v>733</v>
      </c>
      <c r="F324" t="s">
        <v>857</v>
      </c>
      <c r="G324" t="s">
        <v>93</v>
      </c>
      <c r="H324" t="s">
        <v>10</v>
      </c>
      <c r="I324">
        <v>0</v>
      </c>
      <c r="J324" t="s">
        <v>871</v>
      </c>
      <c r="K324" s="9">
        <v>5.277569</v>
      </c>
      <c r="L324" s="9">
        <v>1.680162</v>
      </c>
      <c r="M324" s="9">
        <v>1.468507</v>
      </c>
      <c r="N324" t="s">
        <v>14</v>
      </c>
      <c r="O324" s="9">
        <v>10.77</v>
      </c>
      <c r="S324" s="7">
        <v>45.03</v>
      </c>
      <c r="T324" s="7">
        <v>31.84</v>
      </c>
      <c r="X324" s="10" t="s">
        <v>428</v>
      </c>
      <c r="Y324" s="11" t="s">
        <v>872</v>
      </c>
      <c r="Z324" t="s">
        <v>522</v>
      </c>
    </row>
    <row r="325" spans="1:26">
      <c r="A325">
        <v>358</v>
      </c>
      <c r="B325" t="s">
        <v>854</v>
      </c>
      <c r="C325" t="s">
        <v>855</v>
      </c>
      <c r="D325" t="s">
        <v>856</v>
      </c>
      <c r="E325" t="s">
        <v>733</v>
      </c>
      <c r="F325" t="s">
        <v>857</v>
      </c>
      <c r="G325" t="s">
        <v>98</v>
      </c>
      <c r="H325" t="s">
        <v>10</v>
      </c>
      <c r="I325">
        <v>0</v>
      </c>
      <c r="J325" t="s">
        <v>873</v>
      </c>
      <c r="K325" s="9">
        <v>4.060416</v>
      </c>
      <c r="L325" s="9">
        <v>1.192097</v>
      </c>
      <c r="M325" s="9">
        <v>1.021778</v>
      </c>
      <c r="N325" t="s">
        <v>14</v>
      </c>
      <c r="O325" s="9">
        <v>7.3</v>
      </c>
      <c r="S325" s="7">
        <v>44.74</v>
      </c>
      <c r="T325" s="7">
        <v>29.36</v>
      </c>
      <c r="X325" s="10" t="s">
        <v>428</v>
      </c>
      <c r="Y325" s="11" t="s">
        <v>874</v>
      </c>
      <c r="Z325" t="s">
        <v>522</v>
      </c>
    </row>
    <row r="326" spans="1:26">
      <c r="A326">
        <v>359</v>
      </c>
      <c r="B326" t="s">
        <v>854</v>
      </c>
      <c r="C326" t="s">
        <v>855</v>
      </c>
      <c r="D326" t="s">
        <v>856</v>
      </c>
      <c r="E326" t="s">
        <v>733</v>
      </c>
      <c r="F326" t="s">
        <v>857</v>
      </c>
      <c r="G326" t="s">
        <v>103</v>
      </c>
      <c r="H326" t="s">
        <v>10</v>
      </c>
      <c r="I326">
        <v>0</v>
      </c>
      <c r="J326" t="s">
        <v>875</v>
      </c>
      <c r="K326" s="9">
        <v>4.635554</v>
      </c>
      <c r="L326" s="9">
        <v>1.479353</v>
      </c>
      <c r="M326" s="9">
        <v>1.208934</v>
      </c>
      <c r="N326" t="s">
        <v>14</v>
      </c>
      <c r="S326" s="7">
        <v>45.31</v>
      </c>
      <c r="T326" s="7">
        <v>31.91</v>
      </c>
      <c r="X326" s="10" t="s">
        <v>483</v>
      </c>
      <c r="Y326" s="11" t="s">
        <v>876</v>
      </c>
      <c r="Z326" t="s">
        <v>522</v>
      </c>
    </row>
    <row r="327" spans="1:26">
      <c r="A327">
        <v>360</v>
      </c>
      <c r="B327" t="s">
        <v>854</v>
      </c>
      <c r="C327" t="s">
        <v>855</v>
      </c>
      <c r="D327" t="s">
        <v>856</v>
      </c>
      <c r="E327" t="s">
        <v>733</v>
      </c>
      <c r="F327" t="s">
        <v>857</v>
      </c>
      <c r="G327" t="s">
        <v>107</v>
      </c>
      <c r="H327" t="s">
        <v>10</v>
      </c>
      <c r="I327">
        <v>0</v>
      </c>
      <c r="J327" t="s">
        <v>877</v>
      </c>
      <c r="K327" s="9">
        <v>3.482062</v>
      </c>
      <c r="L327" s="9">
        <v>1.023029</v>
      </c>
      <c r="M327" s="9">
        <v>0.887398</v>
      </c>
      <c r="N327" t="s">
        <v>14</v>
      </c>
      <c r="O327" s="9">
        <v>0.67</v>
      </c>
      <c r="S327" s="7">
        <v>47.52</v>
      </c>
      <c r="T327" s="7">
        <v>29.38</v>
      </c>
      <c r="X327" s="10" t="s">
        <v>428</v>
      </c>
      <c r="Y327" s="11" t="s">
        <v>878</v>
      </c>
      <c r="Z327" t="s">
        <v>522</v>
      </c>
    </row>
    <row r="328" spans="1:26">
      <c r="A328">
        <v>361</v>
      </c>
      <c r="B328" t="s">
        <v>854</v>
      </c>
      <c r="C328" t="s">
        <v>855</v>
      </c>
      <c r="D328" t="s">
        <v>856</v>
      </c>
      <c r="E328" t="s">
        <v>733</v>
      </c>
      <c r="F328" t="s">
        <v>857</v>
      </c>
      <c r="G328" t="s">
        <v>112</v>
      </c>
      <c r="H328" t="s">
        <v>10</v>
      </c>
      <c r="I328">
        <v>0</v>
      </c>
      <c r="J328" t="s">
        <v>607</v>
      </c>
      <c r="K328" s="9">
        <v>3.758259</v>
      </c>
      <c r="L328" s="9">
        <v>1.057212</v>
      </c>
      <c r="M328" s="9">
        <v>0.9542659999999999</v>
      </c>
      <c r="N328" t="s">
        <v>14</v>
      </c>
      <c r="O328" s="9">
        <v>0.72</v>
      </c>
      <c r="S328" s="7">
        <v>46.76</v>
      </c>
      <c r="T328" s="7">
        <v>28.13</v>
      </c>
      <c r="X328" s="10" t="s">
        <v>428</v>
      </c>
      <c r="Y328" s="11" t="s">
        <v>879</v>
      </c>
      <c r="Z328" t="s">
        <v>522</v>
      </c>
    </row>
    <row r="329" spans="1:26">
      <c r="A329">
        <v>362</v>
      </c>
      <c r="B329" t="s">
        <v>854</v>
      </c>
      <c r="C329" t="s">
        <v>855</v>
      </c>
      <c r="D329" t="s">
        <v>856</v>
      </c>
      <c r="E329" t="s">
        <v>733</v>
      </c>
      <c r="F329" t="s">
        <v>857</v>
      </c>
      <c r="G329" t="s">
        <v>116</v>
      </c>
      <c r="H329" t="s">
        <v>10</v>
      </c>
      <c r="I329">
        <v>0</v>
      </c>
      <c r="J329" t="s">
        <v>880</v>
      </c>
      <c r="K329" s="9">
        <v>3.869569</v>
      </c>
      <c r="L329" s="9">
        <v>0.942253</v>
      </c>
      <c r="M329" s="9">
        <v>0.814008</v>
      </c>
      <c r="N329" t="s">
        <v>14</v>
      </c>
      <c r="O329" s="9">
        <v>6.01</v>
      </c>
      <c r="S329" s="7">
        <v>41.49</v>
      </c>
      <c r="T329" s="7">
        <v>24.35</v>
      </c>
      <c r="X329" s="10" t="s">
        <v>428</v>
      </c>
      <c r="Y329" s="11" t="s">
        <v>881</v>
      </c>
      <c r="Z329" t="s">
        <v>522</v>
      </c>
    </row>
    <row r="330" spans="1:26">
      <c r="A330">
        <v>363</v>
      </c>
      <c r="B330" t="s">
        <v>854</v>
      </c>
      <c r="C330" t="s">
        <v>855</v>
      </c>
      <c r="D330" t="s">
        <v>856</v>
      </c>
      <c r="E330" t="s">
        <v>733</v>
      </c>
      <c r="F330" t="s">
        <v>857</v>
      </c>
      <c r="G330" t="s">
        <v>120</v>
      </c>
      <c r="H330" t="s">
        <v>10</v>
      </c>
      <c r="I330">
        <v>0</v>
      </c>
      <c r="J330" t="s">
        <v>882</v>
      </c>
      <c r="K330" s="9">
        <v>3.207257</v>
      </c>
      <c r="L330" s="9">
        <v>0.8546049999999999</v>
      </c>
      <c r="M330" s="9">
        <v>0.8025369999999999</v>
      </c>
      <c r="N330" t="s">
        <v>14</v>
      </c>
      <c r="S330" s="7">
        <v>45.46</v>
      </c>
      <c r="T330" s="7">
        <v>26.65</v>
      </c>
      <c r="X330" s="10" t="s">
        <v>483</v>
      </c>
      <c r="Y330" s="11" t="s">
        <v>883</v>
      </c>
      <c r="Z330" t="s">
        <v>522</v>
      </c>
    </row>
    <row r="331" spans="1:26">
      <c r="A331">
        <v>364</v>
      </c>
      <c r="B331" t="s">
        <v>854</v>
      </c>
      <c r="C331" t="s">
        <v>855</v>
      </c>
      <c r="D331" t="s">
        <v>856</v>
      </c>
      <c r="E331" t="s">
        <v>733</v>
      </c>
      <c r="F331" t="s">
        <v>857</v>
      </c>
      <c r="G331" t="s">
        <v>124</v>
      </c>
      <c r="H331" t="s">
        <v>10</v>
      </c>
      <c r="I331">
        <v>0</v>
      </c>
      <c r="J331" t="s">
        <v>884</v>
      </c>
      <c r="K331" s="9">
        <v>4.167976</v>
      </c>
      <c r="L331" s="9">
        <v>1.264197</v>
      </c>
      <c r="M331" s="9">
        <v>1.116444</v>
      </c>
      <c r="N331" t="s">
        <v>14</v>
      </c>
      <c r="O331" s="9">
        <v>0.86</v>
      </c>
      <c r="S331" s="7">
        <v>48.05</v>
      </c>
      <c r="T331" s="7">
        <v>30.33</v>
      </c>
      <c r="X331" s="10" t="s">
        <v>428</v>
      </c>
      <c r="Y331" s="11" t="s">
        <v>885</v>
      </c>
      <c r="Z331" t="s">
        <v>522</v>
      </c>
    </row>
    <row r="332" spans="1:26">
      <c r="A332">
        <v>365</v>
      </c>
      <c r="B332" t="s">
        <v>854</v>
      </c>
      <c r="C332" t="s">
        <v>855</v>
      </c>
      <c r="D332" t="s">
        <v>856</v>
      </c>
      <c r="E332" t="s">
        <v>733</v>
      </c>
      <c r="F332" t="s">
        <v>857</v>
      </c>
      <c r="G332" t="s">
        <v>128</v>
      </c>
      <c r="H332" t="s">
        <v>10</v>
      </c>
      <c r="I332">
        <v>0</v>
      </c>
      <c r="J332" t="s">
        <v>886</v>
      </c>
      <c r="K332" s="9">
        <v>4.376047</v>
      </c>
      <c r="L332" s="9">
        <v>1.333884</v>
      </c>
      <c r="M332" s="9">
        <v>1.191018</v>
      </c>
      <c r="N332" t="s">
        <v>14</v>
      </c>
      <c r="O332" s="9">
        <v>0.92</v>
      </c>
      <c r="S332" s="7">
        <v>47.37</v>
      </c>
      <c r="T332" s="7">
        <v>30.48</v>
      </c>
      <c r="X332" s="10" t="s">
        <v>428</v>
      </c>
      <c r="Y332" s="11" t="s">
        <v>887</v>
      </c>
      <c r="Z332" t="s">
        <v>522</v>
      </c>
    </row>
    <row r="333" spans="1:26">
      <c r="A333">
        <v>366</v>
      </c>
      <c r="B333" t="s">
        <v>854</v>
      </c>
      <c r="C333" t="s">
        <v>855</v>
      </c>
      <c r="D333" t="s">
        <v>856</v>
      </c>
      <c r="E333" t="s">
        <v>733</v>
      </c>
      <c r="F333" t="s">
        <v>857</v>
      </c>
      <c r="G333" t="s">
        <v>133</v>
      </c>
      <c r="H333" t="s">
        <v>10</v>
      </c>
      <c r="I333">
        <v>0</v>
      </c>
      <c r="J333" t="s">
        <v>617</v>
      </c>
      <c r="K333" s="9">
        <v>3.793558</v>
      </c>
      <c r="L333" s="9">
        <v>1.057112</v>
      </c>
      <c r="M333" s="9">
        <v>0.965826</v>
      </c>
      <c r="N333" t="s">
        <v>14</v>
      </c>
      <c r="O333" s="9">
        <v>0.73</v>
      </c>
      <c r="S333" s="7">
        <v>47.46</v>
      </c>
      <c r="T333" s="7">
        <v>27.87</v>
      </c>
      <c r="X333" s="10" t="s">
        <v>428</v>
      </c>
      <c r="Y333" s="11" t="s">
        <v>888</v>
      </c>
      <c r="Z333" t="s">
        <v>522</v>
      </c>
    </row>
    <row r="334" spans="1:26">
      <c r="A334">
        <v>367</v>
      </c>
      <c r="B334" t="s">
        <v>854</v>
      </c>
      <c r="C334" t="s">
        <v>855</v>
      </c>
      <c r="D334" t="s">
        <v>856</v>
      </c>
      <c r="E334" t="s">
        <v>733</v>
      </c>
      <c r="F334" t="s">
        <v>857</v>
      </c>
      <c r="G334" t="s">
        <v>137</v>
      </c>
      <c r="H334" t="s">
        <v>10</v>
      </c>
      <c r="I334">
        <v>0</v>
      </c>
      <c r="J334" t="s">
        <v>889</v>
      </c>
      <c r="K334" s="9">
        <v>3.871507</v>
      </c>
      <c r="L334" s="9">
        <v>1.12656</v>
      </c>
      <c r="M334" s="9">
        <v>1.020282</v>
      </c>
      <c r="N334" t="s">
        <v>14</v>
      </c>
      <c r="S334" s="7">
        <v>47.53</v>
      </c>
      <c r="T334" s="7">
        <v>29.1</v>
      </c>
      <c r="X334" s="10" t="s">
        <v>483</v>
      </c>
      <c r="Y334" s="11" t="s">
        <v>890</v>
      </c>
      <c r="Z334" t="s">
        <v>522</v>
      </c>
    </row>
    <row r="335" spans="1:26">
      <c r="A335">
        <v>368</v>
      </c>
      <c r="B335" t="s">
        <v>854</v>
      </c>
      <c r="C335" t="s">
        <v>855</v>
      </c>
      <c r="D335" t="s">
        <v>856</v>
      </c>
      <c r="E335" t="s">
        <v>733</v>
      </c>
      <c r="F335" t="s">
        <v>857</v>
      </c>
      <c r="G335" t="s">
        <v>141</v>
      </c>
      <c r="H335" t="s">
        <v>10</v>
      </c>
      <c r="I335">
        <v>0</v>
      </c>
      <c r="J335" t="s">
        <v>884</v>
      </c>
      <c r="K335" s="9">
        <v>5.324173</v>
      </c>
      <c r="L335" s="9">
        <v>1.829088</v>
      </c>
      <c r="M335" s="9">
        <v>1.56866</v>
      </c>
      <c r="N335" t="s">
        <v>14</v>
      </c>
      <c r="O335" s="9">
        <v>1.24</v>
      </c>
      <c r="S335" s="7">
        <v>50.43</v>
      </c>
      <c r="T335" s="7">
        <v>34.35</v>
      </c>
      <c r="X335" s="10" t="s">
        <v>428</v>
      </c>
      <c r="Y335" s="11" t="s">
        <v>885</v>
      </c>
      <c r="Z335" t="s">
        <v>522</v>
      </c>
    </row>
    <row r="336" spans="1:26">
      <c r="A336">
        <v>369</v>
      </c>
      <c r="B336" t="s">
        <v>854</v>
      </c>
      <c r="C336" t="s">
        <v>855</v>
      </c>
      <c r="D336" t="s">
        <v>856</v>
      </c>
      <c r="E336" t="s">
        <v>733</v>
      </c>
      <c r="F336" t="s">
        <v>857</v>
      </c>
      <c r="G336" t="s">
        <v>146</v>
      </c>
      <c r="H336" t="s">
        <v>10</v>
      </c>
      <c r="I336">
        <v>0</v>
      </c>
      <c r="J336" t="s">
        <v>886</v>
      </c>
      <c r="K336" s="9">
        <v>5.344791</v>
      </c>
      <c r="L336" s="9">
        <v>1.810203</v>
      </c>
      <c r="M336" s="9">
        <v>1.593994</v>
      </c>
      <c r="N336" t="s">
        <v>14</v>
      </c>
      <c r="O336" s="9">
        <v>1.26</v>
      </c>
      <c r="S336" s="7">
        <v>49.6</v>
      </c>
      <c r="T336" s="7">
        <v>33.87</v>
      </c>
      <c r="X336" s="10" t="s">
        <v>428</v>
      </c>
      <c r="Y336" s="11" t="s">
        <v>887</v>
      </c>
      <c r="Z336" t="s">
        <v>522</v>
      </c>
    </row>
    <row r="337" spans="1:26">
      <c r="A337">
        <v>370</v>
      </c>
      <c r="B337" t="s">
        <v>854</v>
      </c>
      <c r="C337" t="s">
        <v>855</v>
      </c>
      <c r="D337" t="s">
        <v>856</v>
      </c>
      <c r="E337" t="s">
        <v>733</v>
      </c>
      <c r="F337" t="s">
        <v>857</v>
      </c>
      <c r="G337" t="s">
        <v>472</v>
      </c>
      <c r="H337" t="s">
        <v>10</v>
      </c>
      <c r="I337">
        <v>0</v>
      </c>
      <c r="J337" t="s">
        <v>891</v>
      </c>
      <c r="K337" s="9">
        <v>4.720175</v>
      </c>
      <c r="L337" s="9">
        <v>1.561759</v>
      </c>
      <c r="M337" s="9">
        <v>1.330667</v>
      </c>
      <c r="N337" t="s">
        <v>14</v>
      </c>
      <c r="O337" s="9">
        <v>1.03</v>
      </c>
      <c r="S337" s="7">
        <v>49.02</v>
      </c>
      <c r="T337" s="7">
        <v>33.09</v>
      </c>
      <c r="X337" s="10" t="s">
        <v>428</v>
      </c>
      <c r="Y337" s="11" t="s">
        <v>892</v>
      </c>
      <c r="Z337" t="s">
        <v>522</v>
      </c>
    </row>
    <row r="338" spans="1:26">
      <c r="A338">
        <v>371</v>
      </c>
      <c r="B338" t="s">
        <v>854</v>
      </c>
      <c r="C338" t="s">
        <v>855</v>
      </c>
      <c r="D338" t="s">
        <v>856</v>
      </c>
      <c r="E338" t="s">
        <v>733</v>
      </c>
      <c r="F338" t="s">
        <v>857</v>
      </c>
      <c r="G338" t="s">
        <v>475</v>
      </c>
      <c r="H338" t="s">
        <v>10</v>
      </c>
      <c r="I338">
        <v>0</v>
      </c>
      <c r="J338" t="s">
        <v>889</v>
      </c>
      <c r="K338" s="9">
        <v>5.171393</v>
      </c>
      <c r="L338" s="9">
        <v>1.741128</v>
      </c>
      <c r="M338" s="9">
        <v>1.720088</v>
      </c>
      <c r="N338" t="s">
        <v>14</v>
      </c>
      <c r="S338" s="7">
        <v>50.08</v>
      </c>
      <c r="T338" s="7">
        <v>33.67</v>
      </c>
      <c r="X338" s="10" t="s">
        <v>483</v>
      </c>
      <c r="Y338" s="11" t="s">
        <v>890</v>
      </c>
      <c r="Z338" t="s">
        <v>522</v>
      </c>
    </row>
    <row r="339" spans="1:26">
      <c r="A339">
        <v>79</v>
      </c>
      <c r="B339" t="s">
        <v>893</v>
      </c>
      <c r="C339" t="s">
        <v>893</v>
      </c>
      <c r="D339" t="s">
        <v>893</v>
      </c>
      <c r="E339" t="s">
        <v>733</v>
      </c>
      <c r="F339" t="s">
        <v>894</v>
      </c>
      <c r="G339" t="s">
        <v>50</v>
      </c>
      <c r="H339" t="s">
        <v>10</v>
      </c>
      <c r="I339">
        <v>0</v>
      </c>
      <c r="J339" t="s">
        <v>895</v>
      </c>
      <c r="K339" s="9">
        <v>10.31</v>
      </c>
      <c r="L339" s="9">
        <v>4.28</v>
      </c>
      <c r="M339" s="9">
        <v>3.89</v>
      </c>
      <c r="N339" t="s">
        <v>14</v>
      </c>
      <c r="O339" s="9">
        <v>0.75</v>
      </c>
      <c r="P339" s="9">
        <v>0.72</v>
      </c>
      <c r="Q339" s="9">
        <v>10</v>
      </c>
      <c r="R339" t="s">
        <v>59</v>
      </c>
      <c r="S339" s="7">
        <v>51.8</v>
      </c>
      <c r="V339" s="10" t="s">
        <v>896</v>
      </c>
      <c r="X339" s="10" t="s">
        <v>897</v>
      </c>
      <c r="Y339" s="10" t="s">
        <v>898</v>
      </c>
      <c r="Z339" t="s">
        <v>56</v>
      </c>
    </row>
    <row r="340" spans="1:26">
      <c r="A340">
        <v>80</v>
      </c>
      <c r="B340" t="s">
        <v>893</v>
      </c>
      <c r="C340" t="s">
        <v>893</v>
      </c>
      <c r="D340" t="s">
        <v>893</v>
      </c>
      <c r="E340" t="s">
        <v>733</v>
      </c>
      <c r="F340" t="s">
        <v>894</v>
      </c>
      <c r="G340" t="s">
        <v>57</v>
      </c>
      <c r="H340" t="s">
        <v>10</v>
      </c>
      <c r="I340">
        <v>0</v>
      </c>
      <c r="J340" t="s">
        <v>899</v>
      </c>
      <c r="K340" s="9">
        <v>10.38</v>
      </c>
      <c r="L340" s="9">
        <v>4.38</v>
      </c>
      <c r="M340" s="9">
        <v>4.02</v>
      </c>
      <c r="N340" t="s">
        <v>14</v>
      </c>
      <c r="O340" s="9">
        <v>0.78</v>
      </c>
      <c r="P340" s="9">
        <v>0.74</v>
      </c>
      <c r="Q340" s="9">
        <v>10.1</v>
      </c>
      <c r="R340" t="s">
        <v>59</v>
      </c>
      <c r="S340" s="7">
        <v>53</v>
      </c>
      <c r="V340" s="10" t="s">
        <v>900</v>
      </c>
      <c r="X340" s="10" t="s">
        <v>901</v>
      </c>
      <c r="Y340" s="10" t="s">
        <v>902</v>
      </c>
      <c r="Z340" t="s">
        <v>56</v>
      </c>
    </row>
    <row r="341" spans="1:26">
      <c r="A341">
        <v>81</v>
      </c>
      <c r="B341" t="s">
        <v>893</v>
      </c>
      <c r="C341" t="s">
        <v>893</v>
      </c>
      <c r="D341" t="s">
        <v>893</v>
      </c>
      <c r="E341" t="s">
        <v>733</v>
      </c>
      <c r="F341" t="s">
        <v>894</v>
      </c>
      <c r="G341" t="s">
        <v>62</v>
      </c>
      <c r="H341" t="s">
        <v>10</v>
      </c>
      <c r="I341">
        <v>0</v>
      </c>
      <c r="J341" t="s">
        <v>903</v>
      </c>
      <c r="K341" s="9">
        <v>12.14</v>
      </c>
      <c r="L341" s="9">
        <v>5.11</v>
      </c>
      <c r="M341" s="9">
        <v>4.67</v>
      </c>
      <c r="N341" t="s">
        <v>14</v>
      </c>
      <c r="O341" s="9">
        <v>0.9</v>
      </c>
      <c r="P341" s="9">
        <v>0.85</v>
      </c>
      <c r="Q341" s="9">
        <v>11.5</v>
      </c>
      <c r="R341" t="s">
        <v>59</v>
      </c>
      <c r="S341" s="7">
        <v>53.4</v>
      </c>
      <c r="V341" s="10" t="s">
        <v>904</v>
      </c>
      <c r="X341" s="10" t="s">
        <v>905</v>
      </c>
      <c r="Y341" s="10" t="s">
        <v>906</v>
      </c>
      <c r="Z341" t="s">
        <v>56</v>
      </c>
    </row>
    <row r="342" spans="1:26">
      <c r="A342">
        <v>82</v>
      </c>
      <c r="B342" t="s">
        <v>893</v>
      </c>
      <c r="C342" t="s">
        <v>893</v>
      </c>
      <c r="D342" t="s">
        <v>893</v>
      </c>
      <c r="E342" t="s">
        <v>733</v>
      </c>
      <c r="F342" t="s">
        <v>894</v>
      </c>
      <c r="G342" t="s">
        <v>66</v>
      </c>
      <c r="H342" t="s">
        <v>10</v>
      </c>
      <c r="I342">
        <v>0</v>
      </c>
      <c r="J342" t="s">
        <v>907</v>
      </c>
      <c r="K342" s="9">
        <v>12.68</v>
      </c>
      <c r="L342" s="9">
        <v>5.26</v>
      </c>
      <c r="M342" s="9">
        <v>4.97</v>
      </c>
      <c r="N342" t="s">
        <v>14</v>
      </c>
      <c r="O342" s="9">
        <v>0.97</v>
      </c>
      <c r="P342" s="9">
        <v>0.92</v>
      </c>
      <c r="Q342" s="9">
        <v>12.3</v>
      </c>
      <c r="R342" t="s">
        <v>59</v>
      </c>
      <c r="S342" s="7">
        <v>54</v>
      </c>
      <c r="V342" s="10" t="s">
        <v>908</v>
      </c>
      <c r="X342" s="10" t="s">
        <v>909</v>
      </c>
      <c r="Y342" s="10" t="s">
        <v>910</v>
      </c>
      <c r="Z342" t="s">
        <v>56</v>
      </c>
    </row>
    <row r="343" spans="1:26">
      <c r="A343">
        <v>83</v>
      </c>
      <c r="B343" t="s">
        <v>893</v>
      </c>
      <c r="C343" t="s">
        <v>893</v>
      </c>
      <c r="D343" t="s">
        <v>893</v>
      </c>
      <c r="E343" t="s">
        <v>733</v>
      </c>
      <c r="F343" t="s">
        <v>894</v>
      </c>
      <c r="G343" t="s">
        <v>71</v>
      </c>
      <c r="H343" t="s">
        <v>10</v>
      </c>
      <c r="I343">
        <v>0</v>
      </c>
      <c r="J343" t="s">
        <v>911</v>
      </c>
      <c r="K343" s="9">
        <v>12.92</v>
      </c>
      <c r="L343" s="9">
        <v>5.36</v>
      </c>
      <c r="M343" s="9">
        <v>4.93</v>
      </c>
      <c r="N343" t="s">
        <v>14</v>
      </c>
      <c r="O343" s="9">
        <v>0.96</v>
      </c>
      <c r="P343" s="9">
        <v>0.9399999999999999</v>
      </c>
      <c r="Q343" s="9">
        <v>12.7</v>
      </c>
      <c r="R343" t="s">
        <v>59</v>
      </c>
      <c r="S343" s="7">
        <v>52.4</v>
      </c>
      <c r="V343" s="10" t="s">
        <v>912</v>
      </c>
      <c r="X343" s="10" t="s">
        <v>913</v>
      </c>
      <c r="Y343" s="10" t="s">
        <v>914</v>
      </c>
      <c r="Z343" t="s">
        <v>56</v>
      </c>
    </row>
    <row r="344" spans="1:26">
      <c r="A344">
        <v>84</v>
      </c>
      <c r="B344" t="s">
        <v>893</v>
      </c>
      <c r="C344" t="s">
        <v>893</v>
      </c>
      <c r="D344" t="s">
        <v>893</v>
      </c>
      <c r="E344" t="s">
        <v>733</v>
      </c>
      <c r="F344" t="s">
        <v>894</v>
      </c>
      <c r="G344" t="s">
        <v>75</v>
      </c>
      <c r="H344" t="s">
        <v>10</v>
      </c>
      <c r="I344">
        <v>0</v>
      </c>
      <c r="J344" t="s">
        <v>915</v>
      </c>
      <c r="K344" s="9">
        <v>13.29</v>
      </c>
      <c r="L344" s="9">
        <v>5.2</v>
      </c>
      <c r="M344" s="9">
        <v>4.8</v>
      </c>
      <c r="N344" t="s">
        <v>14</v>
      </c>
      <c r="O344" s="9">
        <v>0.93</v>
      </c>
      <c r="P344" s="9">
        <v>0.91</v>
      </c>
      <c r="Q344" s="9">
        <v>13</v>
      </c>
      <c r="R344" t="s">
        <v>100</v>
      </c>
      <c r="S344" s="7">
        <v>50</v>
      </c>
      <c r="V344" s="10" t="s">
        <v>916</v>
      </c>
      <c r="X344" s="10" t="s">
        <v>917</v>
      </c>
      <c r="Y344" s="10" t="s">
        <v>918</v>
      </c>
      <c r="Z344" t="s">
        <v>56</v>
      </c>
    </row>
    <row r="345" spans="1:26">
      <c r="A345">
        <v>85</v>
      </c>
      <c r="B345" t="s">
        <v>893</v>
      </c>
      <c r="C345" t="s">
        <v>893</v>
      </c>
      <c r="D345" t="s">
        <v>893</v>
      </c>
      <c r="E345" t="s">
        <v>733</v>
      </c>
      <c r="F345" t="s">
        <v>894</v>
      </c>
      <c r="G345" t="s">
        <v>80</v>
      </c>
      <c r="H345" t="s">
        <v>10</v>
      </c>
      <c r="I345">
        <v>0</v>
      </c>
      <c r="J345" t="s">
        <v>919</v>
      </c>
      <c r="K345" s="9">
        <v>14.88</v>
      </c>
      <c r="L345" s="9">
        <v>6.13</v>
      </c>
      <c r="M345" s="9">
        <v>5.61</v>
      </c>
      <c r="N345" t="s">
        <v>14</v>
      </c>
      <c r="O345" s="9">
        <v>1.08</v>
      </c>
      <c r="P345" s="9">
        <v>1.05</v>
      </c>
      <c r="Q345" s="9">
        <v>14.5</v>
      </c>
      <c r="R345" t="s">
        <v>59</v>
      </c>
      <c r="S345" s="7">
        <v>51.3</v>
      </c>
      <c r="V345" s="10" t="s">
        <v>920</v>
      </c>
      <c r="X345" s="10" t="s">
        <v>921</v>
      </c>
      <c r="Y345" s="10" t="s">
        <v>922</v>
      </c>
      <c r="Z345" t="s">
        <v>56</v>
      </c>
    </row>
    <row r="346" spans="1:26">
      <c r="A346">
        <v>86</v>
      </c>
      <c r="B346" t="s">
        <v>893</v>
      </c>
      <c r="C346" t="s">
        <v>893</v>
      </c>
      <c r="D346" t="s">
        <v>893</v>
      </c>
      <c r="E346" t="s">
        <v>733</v>
      </c>
      <c r="F346" t="s">
        <v>894</v>
      </c>
      <c r="G346" t="s">
        <v>85</v>
      </c>
      <c r="H346" t="s">
        <v>10</v>
      </c>
      <c r="I346">
        <v>0</v>
      </c>
      <c r="J346" t="s">
        <v>923</v>
      </c>
      <c r="K346" s="9">
        <v>15.74</v>
      </c>
      <c r="L346" s="9">
        <v>6.56</v>
      </c>
      <c r="M346" s="9">
        <v>5.98</v>
      </c>
      <c r="N346" t="s">
        <v>14</v>
      </c>
      <c r="O346" s="9">
        <v>1.15</v>
      </c>
      <c r="P346" s="9">
        <v>1.12</v>
      </c>
      <c r="Q346" s="9">
        <v>15.4</v>
      </c>
      <c r="R346" t="s">
        <v>59</v>
      </c>
      <c r="S346" s="7">
        <v>52.7</v>
      </c>
      <c r="V346" s="10" t="s">
        <v>924</v>
      </c>
      <c r="X346" s="10" t="s">
        <v>925</v>
      </c>
      <c r="Y346" s="10" t="s">
        <v>926</v>
      </c>
      <c r="Z346" t="s">
        <v>56</v>
      </c>
    </row>
    <row r="347" spans="1:26">
      <c r="A347">
        <v>87</v>
      </c>
      <c r="B347" t="s">
        <v>893</v>
      </c>
      <c r="C347" t="s">
        <v>893</v>
      </c>
      <c r="D347" t="s">
        <v>893</v>
      </c>
      <c r="E347" t="s">
        <v>733</v>
      </c>
      <c r="F347" t="s">
        <v>894</v>
      </c>
      <c r="G347" t="s">
        <v>89</v>
      </c>
      <c r="H347" t="s">
        <v>10</v>
      </c>
      <c r="I347">
        <v>0</v>
      </c>
      <c r="J347" t="s">
        <v>927</v>
      </c>
      <c r="K347" s="9">
        <v>17.57</v>
      </c>
      <c r="L347" s="9">
        <v>7.97</v>
      </c>
      <c r="M347" s="9">
        <v>7.02</v>
      </c>
      <c r="N347" t="s">
        <v>14</v>
      </c>
      <c r="O347" s="9">
        <v>1.35</v>
      </c>
      <c r="P347" s="9">
        <v>1.3</v>
      </c>
      <c r="Q347" s="9">
        <v>17.1</v>
      </c>
      <c r="R347" t="s">
        <v>59</v>
      </c>
      <c r="S347" s="7">
        <v>55.6</v>
      </c>
      <c r="V347" s="10" t="s">
        <v>928</v>
      </c>
      <c r="X347" s="10" t="s">
        <v>929</v>
      </c>
      <c r="Y347" s="10" t="s">
        <v>930</v>
      </c>
      <c r="Z347" t="s">
        <v>56</v>
      </c>
    </row>
    <row r="348" spans="1:26">
      <c r="A348">
        <v>88</v>
      </c>
      <c r="B348" t="s">
        <v>893</v>
      </c>
      <c r="C348" t="s">
        <v>893</v>
      </c>
      <c r="D348" t="s">
        <v>893</v>
      </c>
      <c r="E348" t="s">
        <v>733</v>
      </c>
      <c r="F348" t="s">
        <v>894</v>
      </c>
      <c r="G348" t="s">
        <v>93</v>
      </c>
      <c r="H348" t="s">
        <v>10</v>
      </c>
      <c r="I348">
        <v>0</v>
      </c>
      <c r="J348" t="s">
        <v>931</v>
      </c>
      <c r="K348" s="9">
        <v>18.16</v>
      </c>
      <c r="L348" s="9">
        <v>8.91</v>
      </c>
      <c r="M348" s="9">
        <v>7.94</v>
      </c>
      <c r="N348" t="s">
        <v>14</v>
      </c>
      <c r="O348" s="9">
        <v>1.55</v>
      </c>
      <c r="P348" s="9">
        <v>1.48</v>
      </c>
      <c r="Q348" s="9">
        <v>17.8</v>
      </c>
      <c r="R348" t="s">
        <v>59</v>
      </c>
      <c r="S348" s="7">
        <v>59.1</v>
      </c>
      <c r="V348" s="10" t="s">
        <v>932</v>
      </c>
      <c r="X348" s="10" t="s">
        <v>933</v>
      </c>
      <c r="Y348" s="10" t="s">
        <v>934</v>
      </c>
      <c r="Z348" t="s">
        <v>56</v>
      </c>
    </row>
    <row r="349" spans="1:26">
      <c r="A349">
        <v>89</v>
      </c>
      <c r="B349" t="s">
        <v>893</v>
      </c>
      <c r="C349" t="s">
        <v>893</v>
      </c>
      <c r="D349" t="s">
        <v>893</v>
      </c>
      <c r="E349" t="s">
        <v>733</v>
      </c>
      <c r="F349" t="s">
        <v>894</v>
      </c>
      <c r="G349" t="s">
        <v>98</v>
      </c>
      <c r="H349" t="s">
        <v>10</v>
      </c>
      <c r="I349">
        <v>0</v>
      </c>
      <c r="J349" t="s">
        <v>935</v>
      </c>
      <c r="K349" s="9">
        <v>20.23</v>
      </c>
      <c r="L349" s="9">
        <v>10.23</v>
      </c>
      <c r="M349" s="9">
        <v>8.91</v>
      </c>
      <c r="N349" t="s">
        <v>14</v>
      </c>
      <c r="O349" s="9">
        <v>1.79</v>
      </c>
      <c r="P349" s="9">
        <v>1.68</v>
      </c>
      <c r="Q349" s="9">
        <v>19.8</v>
      </c>
      <c r="R349" t="s">
        <v>59</v>
      </c>
      <c r="S349" s="7">
        <v>60.4</v>
      </c>
      <c r="V349" s="10" t="s">
        <v>936</v>
      </c>
      <c r="X349" s="10" t="s">
        <v>937</v>
      </c>
      <c r="Y349" s="10" t="s">
        <v>938</v>
      </c>
      <c r="Z349" t="s">
        <v>56</v>
      </c>
    </row>
    <row r="350" spans="1:26">
      <c r="A350">
        <v>90</v>
      </c>
      <c r="B350" t="s">
        <v>893</v>
      </c>
      <c r="C350" t="s">
        <v>893</v>
      </c>
      <c r="D350" t="s">
        <v>893</v>
      </c>
      <c r="E350" t="s">
        <v>733</v>
      </c>
      <c r="F350" t="s">
        <v>894</v>
      </c>
      <c r="G350" t="s">
        <v>103</v>
      </c>
      <c r="H350" t="s">
        <v>10</v>
      </c>
      <c r="I350">
        <v>0</v>
      </c>
      <c r="J350" t="s">
        <v>939</v>
      </c>
      <c r="K350" s="9">
        <v>19.93</v>
      </c>
      <c r="L350" s="9">
        <v>10.36</v>
      </c>
      <c r="M350" s="9">
        <v>9.43</v>
      </c>
      <c r="N350" t="s">
        <v>14</v>
      </c>
      <c r="O350" s="9">
        <v>1.82</v>
      </c>
      <c r="P350" s="9">
        <v>1.76</v>
      </c>
      <c r="Q350" s="9">
        <v>19.5</v>
      </c>
      <c r="R350" t="s">
        <v>59</v>
      </c>
      <c r="S350" s="7">
        <v>62.2</v>
      </c>
      <c r="V350" s="10" t="s">
        <v>940</v>
      </c>
      <c r="X350" s="10" t="s">
        <v>941</v>
      </c>
      <c r="Y350" s="10" t="s">
        <v>942</v>
      </c>
      <c r="Z350" t="s">
        <v>56</v>
      </c>
    </row>
    <row r="351" spans="1:26">
      <c r="A351">
        <v>91</v>
      </c>
      <c r="B351" t="s">
        <v>893</v>
      </c>
      <c r="C351" t="s">
        <v>893</v>
      </c>
      <c r="D351" t="s">
        <v>893</v>
      </c>
      <c r="E351" t="s">
        <v>733</v>
      </c>
      <c r="F351" t="s">
        <v>894</v>
      </c>
      <c r="G351" t="s">
        <v>107</v>
      </c>
      <c r="H351" t="s">
        <v>10</v>
      </c>
      <c r="I351">
        <v>0</v>
      </c>
      <c r="J351" t="s">
        <v>943</v>
      </c>
      <c r="K351" s="9">
        <v>16.72</v>
      </c>
      <c r="L351" s="9">
        <v>7.6</v>
      </c>
      <c r="M351" s="9">
        <v>6.76</v>
      </c>
      <c r="N351" t="s">
        <v>14</v>
      </c>
      <c r="O351" s="9">
        <v>1.31</v>
      </c>
      <c r="P351" s="9">
        <v>1.28</v>
      </c>
      <c r="Q351" s="9">
        <v>16.5</v>
      </c>
      <c r="R351" t="s">
        <v>59</v>
      </c>
      <c r="S351" s="7">
        <v>56.3</v>
      </c>
      <c r="V351" s="10" t="s">
        <v>944</v>
      </c>
      <c r="X351" s="10" t="s">
        <v>945</v>
      </c>
      <c r="Y351" s="10" t="s">
        <v>946</v>
      </c>
      <c r="Z351" t="s">
        <v>56</v>
      </c>
    </row>
    <row r="352" spans="1:26">
      <c r="A352">
        <v>92</v>
      </c>
      <c r="B352" t="s">
        <v>893</v>
      </c>
      <c r="C352" t="s">
        <v>893</v>
      </c>
      <c r="D352" t="s">
        <v>893</v>
      </c>
      <c r="E352" t="s">
        <v>733</v>
      </c>
      <c r="F352" t="s">
        <v>894</v>
      </c>
      <c r="G352" t="s">
        <v>112</v>
      </c>
      <c r="H352" t="s">
        <v>10</v>
      </c>
      <c r="I352">
        <v>0</v>
      </c>
      <c r="J352" t="s">
        <v>947</v>
      </c>
      <c r="K352" s="9">
        <v>15.68</v>
      </c>
      <c r="L352" s="9">
        <v>6.58</v>
      </c>
      <c r="M352" s="9">
        <v>5.93</v>
      </c>
      <c r="N352" t="s">
        <v>14</v>
      </c>
      <c r="O352" s="9">
        <v>1.14</v>
      </c>
      <c r="P352" s="9">
        <v>1.08</v>
      </c>
      <c r="Q352" s="9">
        <v>15.3</v>
      </c>
      <c r="R352" t="s">
        <v>59</v>
      </c>
      <c r="S352" s="7">
        <v>54.1</v>
      </c>
      <c r="V352" s="10" t="s">
        <v>948</v>
      </c>
      <c r="X352" s="10" t="s">
        <v>949</v>
      </c>
      <c r="Y352" s="10" t="s">
        <v>950</v>
      </c>
      <c r="Z352" t="s">
        <v>56</v>
      </c>
    </row>
    <row r="353" spans="1:26">
      <c r="A353">
        <v>93</v>
      </c>
      <c r="B353" t="s">
        <v>893</v>
      </c>
      <c r="C353" t="s">
        <v>893</v>
      </c>
      <c r="D353" t="s">
        <v>893</v>
      </c>
      <c r="E353" t="s">
        <v>733</v>
      </c>
      <c r="F353" t="s">
        <v>894</v>
      </c>
      <c r="G353" t="s">
        <v>116</v>
      </c>
      <c r="H353" t="s">
        <v>10</v>
      </c>
      <c r="I353">
        <v>0</v>
      </c>
      <c r="J353" t="s">
        <v>951</v>
      </c>
      <c r="K353" s="9">
        <v>17.28</v>
      </c>
      <c r="L353" s="9">
        <v>7.21</v>
      </c>
      <c r="M353" s="9">
        <v>6.69</v>
      </c>
      <c r="N353" t="s">
        <v>14</v>
      </c>
      <c r="O353" s="9">
        <v>1.29</v>
      </c>
      <c r="P353" s="9">
        <v>1.16</v>
      </c>
      <c r="Q353" s="9">
        <v>16.8</v>
      </c>
      <c r="R353" t="s">
        <v>59</v>
      </c>
      <c r="S353" s="7">
        <v>54.3</v>
      </c>
      <c r="V353" s="10" t="s">
        <v>952</v>
      </c>
      <c r="X353" s="10" t="s">
        <v>953</v>
      </c>
      <c r="Y353" s="10" t="s">
        <v>954</v>
      </c>
      <c r="Z353" t="s">
        <v>56</v>
      </c>
    </row>
    <row r="354" spans="1:26">
      <c r="A354">
        <v>94</v>
      </c>
      <c r="B354" t="s">
        <v>893</v>
      </c>
      <c r="C354" t="s">
        <v>893</v>
      </c>
      <c r="D354" t="s">
        <v>893</v>
      </c>
      <c r="E354" t="s">
        <v>733</v>
      </c>
      <c r="F354" t="s">
        <v>894</v>
      </c>
      <c r="G354" t="s">
        <v>120</v>
      </c>
      <c r="H354" t="s">
        <v>10</v>
      </c>
      <c r="I354">
        <v>0</v>
      </c>
      <c r="J354" t="s">
        <v>955</v>
      </c>
      <c r="K354" s="9">
        <v>19.62</v>
      </c>
      <c r="L354" s="9">
        <v>8.16</v>
      </c>
      <c r="M354" s="9">
        <v>7.56</v>
      </c>
      <c r="N354" t="s">
        <v>14</v>
      </c>
      <c r="O354" s="9">
        <v>1.44</v>
      </c>
      <c r="P354" s="9">
        <v>1.37</v>
      </c>
      <c r="Q354" s="9">
        <v>19.2</v>
      </c>
      <c r="R354" t="s">
        <v>59</v>
      </c>
      <c r="S354" s="7">
        <v>53</v>
      </c>
      <c r="V354" s="10" t="s">
        <v>956</v>
      </c>
      <c r="X354" s="10" t="s">
        <v>957</v>
      </c>
      <c r="Y354" s="10" t="s">
        <v>958</v>
      </c>
      <c r="Z354" t="s">
        <v>56</v>
      </c>
    </row>
    <row r="355" spans="1:26">
      <c r="A355">
        <v>95</v>
      </c>
      <c r="B355" t="s">
        <v>893</v>
      </c>
      <c r="C355" t="s">
        <v>893</v>
      </c>
      <c r="D355" t="s">
        <v>893</v>
      </c>
      <c r="E355" t="s">
        <v>733</v>
      </c>
      <c r="F355" t="s">
        <v>894</v>
      </c>
      <c r="G355" t="s">
        <v>124</v>
      </c>
      <c r="H355" t="s">
        <v>10</v>
      </c>
      <c r="I355">
        <v>0</v>
      </c>
      <c r="J355" t="s">
        <v>959</v>
      </c>
      <c r="K355" s="9">
        <v>18.87</v>
      </c>
      <c r="L355" s="9">
        <v>8</v>
      </c>
      <c r="M355" s="9">
        <v>7.18</v>
      </c>
      <c r="N355" t="s">
        <v>14</v>
      </c>
      <c r="O355" s="9">
        <v>1.38</v>
      </c>
      <c r="P355" s="9">
        <v>1.32</v>
      </c>
      <c r="Q355" s="9">
        <v>18.5</v>
      </c>
      <c r="R355" t="s">
        <v>59</v>
      </c>
      <c r="S355" s="7">
        <v>53.1</v>
      </c>
      <c r="V355" s="10" t="s">
        <v>960</v>
      </c>
      <c r="X355" s="10" t="s">
        <v>961</v>
      </c>
      <c r="Y355" s="10" t="s">
        <v>962</v>
      </c>
      <c r="Z355" t="s">
        <v>56</v>
      </c>
    </row>
    <row r="356" spans="1:26">
      <c r="A356">
        <v>96</v>
      </c>
      <c r="B356" t="s">
        <v>893</v>
      </c>
      <c r="C356" t="s">
        <v>893</v>
      </c>
      <c r="D356" t="s">
        <v>893</v>
      </c>
      <c r="E356" t="s">
        <v>733</v>
      </c>
      <c r="F356" t="s">
        <v>894</v>
      </c>
      <c r="G356" t="s">
        <v>128</v>
      </c>
      <c r="H356" t="s">
        <v>10</v>
      </c>
      <c r="I356">
        <v>0</v>
      </c>
      <c r="J356" t="s">
        <v>963</v>
      </c>
      <c r="K356" s="9">
        <v>20.82</v>
      </c>
      <c r="L356" s="9">
        <v>8.84</v>
      </c>
      <c r="M356" s="9">
        <v>7.66</v>
      </c>
      <c r="N356" t="s">
        <v>14</v>
      </c>
      <c r="O356" s="9">
        <v>1.48</v>
      </c>
      <c r="P356" s="9">
        <v>1.42</v>
      </c>
      <c r="Q356" s="9">
        <v>20.3</v>
      </c>
      <c r="R356" t="s">
        <v>59</v>
      </c>
      <c r="S356" s="7">
        <v>53.2</v>
      </c>
      <c r="V356" s="10" t="s">
        <v>964</v>
      </c>
      <c r="X356" s="10" t="s">
        <v>965</v>
      </c>
      <c r="Y356" s="10" t="s">
        <v>966</v>
      </c>
      <c r="Z356" t="s">
        <v>56</v>
      </c>
    </row>
    <row r="357" spans="1:26">
      <c r="A357">
        <v>97</v>
      </c>
      <c r="B357" t="s">
        <v>893</v>
      </c>
      <c r="C357" t="s">
        <v>893</v>
      </c>
      <c r="D357" t="s">
        <v>893</v>
      </c>
      <c r="E357" t="s">
        <v>733</v>
      </c>
      <c r="F357" t="s">
        <v>894</v>
      </c>
      <c r="G357" t="s">
        <v>133</v>
      </c>
      <c r="H357" t="s">
        <v>10</v>
      </c>
      <c r="I357">
        <v>0</v>
      </c>
      <c r="J357" t="s">
        <v>967</v>
      </c>
      <c r="K357" s="9">
        <v>23.5</v>
      </c>
      <c r="L357" s="9">
        <v>11.16</v>
      </c>
      <c r="M357" s="9">
        <v>10.05</v>
      </c>
      <c r="N357" t="s">
        <v>14</v>
      </c>
      <c r="O357" s="9">
        <v>1.94</v>
      </c>
      <c r="P357" s="9">
        <v>1.8</v>
      </c>
      <c r="Q357" s="9">
        <v>22.5</v>
      </c>
      <c r="R357" t="s">
        <v>59</v>
      </c>
      <c r="S357" s="7">
        <v>57.8</v>
      </c>
      <c r="V357" s="10" t="s">
        <v>968</v>
      </c>
      <c r="X357" s="10" t="s">
        <v>969</v>
      </c>
      <c r="Y357" s="10" t="s">
        <v>970</v>
      </c>
      <c r="Z357" t="s">
        <v>56</v>
      </c>
    </row>
    <row r="358" spans="1:26">
      <c r="A358">
        <v>98</v>
      </c>
      <c r="B358" t="s">
        <v>893</v>
      </c>
      <c r="C358" t="s">
        <v>893</v>
      </c>
      <c r="D358" t="s">
        <v>893</v>
      </c>
      <c r="E358" t="s">
        <v>733</v>
      </c>
      <c r="F358" t="s">
        <v>894</v>
      </c>
      <c r="G358" t="s">
        <v>137</v>
      </c>
      <c r="H358" t="s">
        <v>10</v>
      </c>
      <c r="I358">
        <v>0</v>
      </c>
      <c r="J358" t="s">
        <v>971</v>
      </c>
      <c r="K358" s="9">
        <v>26.36</v>
      </c>
      <c r="L358" s="9">
        <v>12.24</v>
      </c>
      <c r="M358" s="9">
        <v>11.03</v>
      </c>
      <c r="N358" t="s">
        <v>14</v>
      </c>
      <c r="O358" s="9">
        <v>2.24</v>
      </c>
      <c r="P358" s="9">
        <v>2.14</v>
      </c>
      <c r="Q358" s="9">
        <v>25.7</v>
      </c>
      <c r="R358" t="s">
        <v>59</v>
      </c>
      <c r="S358" s="7">
        <v>59</v>
      </c>
      <c r="V358" s="10" t="s">
        <v>972</v>
      </c>
      <c r="X358" s="10" t="s">
        <v>973</v>
      </c>
      <c r="Y358" s="10" t="s">
        <v>974</v>
      </c>
      <c r="Z358" t="s">
        <v>56</v>
      </c>
    </row>
    <row r="359" spans="1:26">
      <c r="A359">
        <v>99</v>
      </c>
      <c r="B359" t="s">
        <v>893</v>
      </c>
      <c r="C359" t="s">
        <v>893</v>
      </c>
      <c r="D359" t="s">
        <v>893</v>
      </c>
      <c r="E359" t="s">
        <v>733</v>
      </c>
      <c r="F359" t="s">
        <v>894</v>
      </c>
      <c r="G359" t="s">
        <v>141</v>
      </c>
      <c r="H359" t="s">
        <v>10</v>
      </c>
      <c r="I359">
        <v>0</v>
      </c>
      <c r="J359" t="s">
        <v>975</v>
      </c>
      <c r="K359" s="9">
        <v>25.53</v>
      </c>
      <c r="L359" s="9">
        <v>12.03</v>
      </c>
      <c r="M359" s="9">
        <v>10.82</v>
      </c>
      <c r="N359" t="s">
        <v>14</v>
      </c>
      <c r="O359" s="9">
        <v>2.12</v>
      </c>
      <c r="P359" s="9">
        <v>2.02</v>
      </c>
      <c r="Q359" s="9">
        <v>24.8</v>
      </c>
      <c r="R359" t="s">
        <v>59</v>
      </c>
      <c r="S359" s="7">
        <v>58.4</v>
      </c>
      <c r="V359" s="10" t="s">
        <v>976</v>
      </c>
      <c r="X359" s="10" t="s">
        <v>977</v>
      </c>
      <c r="Y359" s="10" t="s">
        <v>978</v>
      </c>
      <c r="Z359" t="s">
        <v>56</v>
      </c>
    </row>
    <row r="360" spans="1:26">
      <c r="A360">
        <v>100</v>
      </c>
      <c r="B360" t="s">
        <v>893</v>
      </c>
      <c r="C360" t="s">
        <v>893</v>
      </c>
      <c r="D360" t="s">
        <v>893</v>
      </c>
      <c r="E360" t="s">
        <v>733</v>
      </c>
      <c r="F360" t="s">
        <v>894</v>
      </c>
      <c r="G360" t="s">
        <v>146</v>
      </c>
      <c r="H360" t="s">
        <v>10</v>
      </c>
      <c r="I360">
        <v>0</v>
      </c>
      <c r="J360" t="s">
        <v>979</v>
      </c>
      <c r="K360" s="9">
        <v>28.93</v>
      </c>
      <c r="L360" s="9">
        <v>14.07</v>
      </c>
      <c r="M360" s="9">
        <v>12.67</v>
      </c>
      <c r="N360" t="s">
        <v>14</v>
      </c>
      <c r="O360" s="9">
        <v>2.42</v>
      </c>
      <c r="P360" s="9">
        <v>2.3</v>
      </c>
      <c r="Q360" s="9">
        <v>27.8</v>
      </c>
      <c r="R360" t="s">
        <v>59</v>
      </c>
      <c r="S360" s="7">
        <v>58.8</v>
      </c>
      <c r="V360" s="10" t="s">
        <v>980</v>
      </c>
      <c r="X360" s="10" t="s">
        <v>981</v>
      </c>
      <c r="Y360" s="10" t="s">
        <v>982</v>
      </c>
      <c r="Z360" t="s">
        <v>56</v>
      </c>
    </row>
    <row r="361" spans="1:26">
      <c r="A361">
        <v>101</v>
      </c>
      <c r="B361" t="s">
        <v>893</v>
      </c>
      <c r="C361" t="s">
        <v>893</v>
      </c>
      <c r="D361" t="s">
        <v>893</v>
      </c>
      <c r="E361" t="s">
        <v>733</v>
      </c>
      <c r="F361" t="s">
        <v>894</v>
      </c>
      <c r="G361" t="s">
        <v>150</v>
      </c>
      <c r="H361" t="s">
        <v>10</v>
      </c>
      <c r="I361">
        <v>0</v>
      </c>
      <c r="J361" t="s">
        <v>983</v>
      </c>
      <c r="K361" s="9">
        <v>33.5</v>
      </c>
      <c r="L361" s="9">
        <v>16.4</v>
      </c>
      <c r="M361" s="9">
        <v>14.8</v>
      </c>
      <c r="N361" t="s">
        <v>14</v>
      </c>
      <c r="O361" s="9">
        <v>2.78</v>
      </c>
      <c r="P361" s="9">
        <v>2.65</v>
      </c>
      <c r="Q361" s="9">
        <v>32.5</v>
      </c>
      <c r="R361" t="s">
        <v>59</v>
      </c>
      <c r="S361" s="7">
        <v>59.2</v>
      </c>
      <c r="V361" s="10" t="s">
        <v>984</v>
      </c>
      <c r="X361" s="10" t="s">
        <v>985</v>
      </c>
      <c r="Y361" s="10" t="s">
        <v>986</v>
      </c>
      <c r="Z361" t="s">
        <v>56</v>
      </c>
    </row>
    <row r="362" spans="1:26">
      <c r="A362">
        <v>102</v>
      </c>
      <c r="B362" t="s">
        <v>893</v>
      </c>
      <c r="C362" t="s">
        <v>893</v>
      </c>
      <c r="D362" t="s">
        <v>893</v>
      </c>
      <c r="E362" t="s">
        <v>733</v>
      </c>
      <c r="F362" t="s">
        <v>894</v>
      </c>
      <c r="G362" t="s">
        <v>155</v>
      </c>
      <c r="H362" t="s">
        <v>10</v>
      </c>
      <c r="I362">
        <v>0</v>
      </c>
      <c r="J362" t="s">
        <v>987</v>
      </c>
      <c r="K362" s="9">
        <v>36.5</v>
      </c>
      <c r="L362" s="9">
        <v>18</v>
      </c>
      <c r="M362" s="9">
        <v>16.2</v>
      </c>
      <c r="N362" t="s">
        <v>14</v>
      </c>
      <c r="O362" s="9">
        <v>3.02</v>
      </c>
      <c r="P362" s="9">
        <v>2.88</v>
      </c>
      <c r="Q362" s="9">
        <v>35.2</v>
      </c>
      <c r="R362" t="s">
        <v>59</v>
      </c>
      <c r="S362" s="7">
        <v>59.5</v>
      </c>
      <c r="V362" s="10" t="s">
        <v>988</v>
      </c>
      <c r="X362" s="10" t="s">
        <v>989</v>
      </c>
      <c r="Y362" s="10" t="s">
        <v>990</v>
      </c>
      <c r="Z362" t="s">
        <v>56</v>
      </c>
    </row>
    <row r="363" spans="1:26">
      <c r="A363">
        <v>398</v>
      </c>
      <c r="B363" t="s">
        <v>995</v>
      </c>
      <c r="C363" t="s">
        <v>996</v>
      </c>
      <c r="D363" t="s">
        <v>997</v>
      </c>
      <c r="E363" t="s">
        <v>998</v>
      </c>
      <c r="F363" t="s">
        <v>999</v>
      </c>
      <c r="G363" t="s">
        <v>146</v>
      </c>
      <c r="H363" t="s">
        <v>10</v>
      </c>
      <c r="I363">
        <v>0</v>
      </c>
      <c r="J363" t="s">
        <v>844</v>
      </c>
      <c r="K363" s="9">
        <v>2.364131034482758</v>
      </c>
      <c r="L363" s="9">
        <v>0.3096482758620689</v>
      </c>
      <c r="M363" s="9">
        <v>0.1260965517241379</v>
      </c>
      <c r="N363" t="s">
        <v>14</v>
      </c>
      <c r="T363" s="7">
        <v>13.1</v>
      </c>
      <c r="X363" s="10" t="s">
        <v>1000</v>
      </c>
      <c r="Y363" s="11" t="s">
        <v>1001</v>
      </c>
      <c r="Z363" t="s">
        <v>1002</v>
      </c>
    </row>
    <row r="364" spans="1:26">
      <c r="A364">
        <v>399</v>
      </c>
      <c r="B364" t="s">
        <v>995</v>
      </c>
      <c r="C364" t="s">
        <v>996</v>
      </c>
      <c r="D364" t="s">
        <v>997</v>
      </c>
      <c r="E364" t="s">
        <v>998</v>
      </c>
      <c r="F364" t="s">
        <v>999</v>
      </c>
      <c r="G364" t="s">
        <v>150</v>
      </c>
      <c r="H364" t="s">
        <v>10</v>
      </c>
      <c r="I364">
        <v>0</v>
      </c>
      <c r="J364" t="s">
        <v>1003</v>
      </c>
      <c r="K364" s="9">
        <v>6.470322580645161</v>
      </c>
      <c r="L364" s="9">
        <v>3.850322580645161</v>
      </c>
      <c r="M364" s="9">
        <v>2.630322580645161</v>
      </c>
      <c r="N364" t="s">
        <v>14</v>
      </c>
      <c r="T364" s="7">
        <v>59.51</v>
      </c>
      <c r="X364" s="10" t="s">
        <v>1004</v>
      </c>
      <c r="Y364" s="11" t="s">
        <v>1005</v>
      </c>
      <c r="Z364" t="s">
        <v>1002</v>
      </c>
    </row>
    <row r="365" spans="1:26">
      <c r="A365">
        <v>400</v>
      </c>
      <c r="B365" t="s">
        <v>995</v>
      </c>
      <c r="C365" t="s">
        <v>996</v>
      </c>
      <c r="D365" t="s">
        <v>997</v>
      </c>
      <c r="E365" t="s">
        <v>998</v>
      </c>
      <c r="F365" t="s">
        <v>999</v>
      </c>
      <c r="G365" t="s">
        <v>155</v>
      </c>
      <c r="H365" t="s">
        <v>10</v>
      </c>
      <c r="I365">
        <v>0</v>
      </c>
      <c r="J365" t="s">
        <v>156</v>
      </c>
      <c r="K365" s="9">
        <v>11.04448125</v>
      </c>
      <c r="L365" s="9">
        <v>7.93760625</v>
      </c>
      <c r="M365" s="9">
        <v>5.26353125</v>
      </c>
      <c r="N365" t="s">
        <v>14</v>
      </c>
      <c r="T365" s="7">
        <v>71.87</v>
      </c>
      <c r="W365" s="10" t="s">
        <v>1006</v>
      </c>
      <c r="X365" s="10" t="s">
        <v>1007</v>
      </c>
      <c r="Y365" s="11" t="s">
        <v>1001</v>
      </c>
      <c r="Z365" t="s">
        <v>1002</v>
      </c>
    </row>
    <row r="366" spans="1:26">
      <c r="A366">
        <v>578</v>
      </c>
      <c r="B366" t="s">
        <v>1009</v>
      </c>
      <c r="C366" t="s">
        <v>1010</v>
      </c>
      <c r="D366" t="s">
        <v>1011</v>
      </c>
      <c r="E366" t="s">
        <v>998</v>
      </c>
      <c r="F366" t="s">
        <v>1012</v>
      </c>
      <c r="G366" t="s">
        <v>50</v>
      </c>
      <c r="H366" t="s">
        <v>10</v>
      </c>
      <c r="I366">
        <v>0</v>
      </c>
      <c r="J366" t="s">
        <v>1013</v>
      </c>
      <c r="K366" s="9">
        <v>5.773</v>
      </c>
      <c r="L366" s="9">
        <v>0.866</v>
      </c>
      <c r="M366" s="9">
        <v>0.803</v>
      </c>
      <c r="N366" t="s">
        <v>14</v>
      </c>
      <c r="O366" s="9">
        <v>0.71</v>
      </c>
      <c r="S366" s="7">
        <v>30.07</v>
      </c>
      <c r="T366" s="7">
        <v>15</v>
      </c>
      <c r="X366" s="10" t="s">
        <v>428</v>
      </c>
      <c r="Y366" s="11" t="s">
        <v>1014</v>
      </c>
      <c r="Z366" t="s">
        <v>430</v>
      </c>
    </row>
    <row r="367" spans="1:26">
      <c r="A367">
        <v>579</v>
      </c>
      <c r="B367" t="s">
        <v>1009</v>
      </c>
      <c r="C367" t="s">
        <v>1010</v>
      </c>
      <c r="D367" t="s">
        <v>1011</v>
      </c>
      <c r="E367" t="s">
        <v>998</v>
      </c>
      <c r="F367" t="s">
        <v>1012</v>
      </c>
      <c r="G367" t="s">
        <v>57</v>
      </c>
      <c r="H367" t="s">
        <v>10</v>
      </c>
      <c r="I367">
        <v>0</v>
      </c>
      <c r="J367" t="s">
        <v>1015</v>
      </c>
      <c r="K367" s="9">
        <v>4.797</v>
      </c>
      <c r="L367" s="9">
        <v>0.44</v>
      </c>
      <c r="M367" s="9">
        <v>0.803</v>
      </c>
      <c r="N367" t="s">
        <v>14</v>
      </c>
      <c r="O367" s="9">
        <v>0.36</v>
      </c>
      <c r="S367" s="7">
        <v>28.25</v>
      </c>
      <c r="T367" s="7">
        <v>9.17</v>
      </c>
      <c r="X367" s="10" t="s">
        <v>428</v>
      </c>
      <c r="Y367" s="11" t="s">
        <v>1016</v>
      </c>
      <c r="Z367" t="s">
        <v>430</v>
      </c>
    </row>
    <row r="368" spans="1:26">
      <c r="A368">
        <v>580</v>
      </c>
      <c r="B368" t="s">
        <v>1009</v>
      </c>
      <c r="C368" t="s">
        <v>1010</v>
      </c>
      <c r="D368" t="s">
        <v>1011</v>
      </c>
      <c r="E368" t="s">
        <v>998</v>
      </c>
      <c r="F368" t="s">
        <v>1012</v>
      </c>
      <c r="G368" t="s">
        <v>62</v>
      </c>
      <c r="H368" t="s">
        <v>10</v>
      </c>
      <c r="I368">
        <v>0</v>
      </c>
      <c r="J368" t="s">
        <v>1017</v>
      </c>
      <c r="K368" s="9">
        <v>5.438</v>
      </c>
      <c r="L368" s="9">
        <v>0.888</v>
      </c>
      <c r="M368" s="9">
        <v>0.803</v>
      </c>
      <c r="N368" t="s">
        <v>14</v>
      </c>
      <c r="O368" s="9">
        <v>0.71</v>
      </c>
      <c r="S368" s="7">
        <v>32.42</v>
      </c>
      <c r="T368" s="7">
        <v>16.33</v>
      </c>
      <c r="X368" s="10" t="s">
        <v>428</v>
      </c>
      <c r="Y368" s="11" t="s">
        <v>1018</v>
      </c>
      <c r="Z368" t="s">
        <v>430</v>
      </c>
    </row>
    <row r="369" spans="1:26">
      <c r="A369">
        <v>581</v>
      </c>
      <c r="B369" t="s">
        <v>1009</v>
      </c>
      <c r="C369" t="s">
        <v>1010</v>
      </c>
      <c r="D369" t="s">
        <v>1011</v>
      </c>
      <c r="E369" t="s">
        <v>998</v>
      </c>
      <c r="F369" t="s">
        <v>1012</v>
      </c>
      <c r="G369" t="s">
        <v>66</v>
      </c>
      <c r="H369" t="s">
        <v>10</v>
      </c>
      <c r="I369">
        <v>0</v>
      </c>
      <c r="J369" t="s">
        <v>1019</v>
      </c>
      <c r="K369" s="9">
        <v>6.056</v>
      </c>
      <c r="L369" s="9">
        <v>1.157</v>
      </c>
      <c r="M369" s="9">
        <v>0.988</v>
      </c>
      <c r="N369" t="s">
        <v>14</v>
      </c>
      <c r="S369" s="7">
        <v>34.15</v>
      </c>
      <c r="T369" s="7">
        <v>19.11</v>
      </c>
      <c r="X369" s="10" t="s">
        <v>483</v>
      </c>
      <c r="Y369" s="11" t="s">
        <v>1020</v>
      </c>
      <c r="Z369" t="s">
        <v>430</v>
      </c>
    </row>
    <row r="370" spans="1:26">
      <c r="A370">
        <v>582</v>
      </c>
      <c r="B370" t="s">
        <v>1009</v>
      </c>
      <c r="C370" t="s">
        <v>1010</v>
      </c>
      <c r="D370" t="s">
        <v>1011</v>
      </c>
      <c r="E370" t="s">
        <v>998</v>
      </c>
      <c r="F370" t="s">
        <v>1012</v>
      </c>
      <c r="G370" t="s">
        <v>71</v>
      </c>
      <c r="H370" t="s">
        <v>10</v>
      </c>
      <c r="I370">
        <v>0</v>
      </c>
      <c r="J370" t="s">
        <v>1021</v>
      </c>
      <c r="K370" s="9">
        <v>7.687</v>
      </c>
      <c r="L370" s="9">
        <v>2.631</v>
      </c>
      <c r="M370" s="9">
        <v>2.306</v>
      </c>
      <c r="N370" t="s">
        <v>14</v>
      </c>
      <c r="O370" s="9">
        <v>2.04</v>
      </c>
      <c r="S370" s="7">
        <v>46.38</v>
      </c>
      <c r="T370" s="7">
        <v>34.23</v>
      </c>
      <c r="X370" s="10" t="s">
        <v>428</v>
      </c>
      <c r="Y370" s="11" t="s">
        <v>1022</v>
      </c>
      <c r="Z370" t="s">
        <v>430</v>
      </c>
    </row>
    <row r="371" spans="1:26">
      <c r="A371">
        <v>583</v>
      </c>
      <c r="B371" t="s">
        <v>1009</v>
      </c>
      <c r="C371" t="s">
        <v>1010</v>
      </c>
      <c r="D371" t="s">
        <v>1011</v>
      </c>
      <c r="E371" t="s">
        <v>998</v>
      </c>
      <c r="F371" t="s">
        <v>1012</v>
      </c>
      <c r="G371" t="s">
        <v>75</v>
      </c>
      <c r="H371" t="s">
        <v>10</v>
      </c>
      <c r="I371">
        <v>0</v>
      </c>
      <c r="J371" t="s">
        <v>1023</v>
      </c>
      <c r="K371" s="9">
        <v>6.236</v>
      </c>
      <c r="L371" s="9">
        <v>0.663</v>
      </c>
      <c r="M371" s="9">
        <v>2.306</v>
      </c>
      <c r="N371" t="s">
        <v>14</v>
      </c>
      <c r="O371" s="9">
        <v>0.53</v>
      </c>
      <c r="S371" s="7">
        <v>26.44</v>
      </c>
      <c r="T371" s="7">
        <v>10.63</v>
      </c>
      <c r="X371" s="10" t="s">
        <v>428</v>
      </c>
      <c r="Y371" s="11" t="s">
        <v>1024</v>
      </c>
      <c r="Z371" t="s">
        <v>430</v>
      </c>
    </row>
    <row r="372" spans="1:26">
      <c r="A372">
        <v>584</v>
      </c>
      <c r="B372" t="s">
        <v>1009</v>
      </c>
      <c r="C372" t="s">
        <v>1010</v>
      </c>
      <c r="D372" t="s">
        <v>1011</v>
      </c>
      <c r="E372" t="s">
        <v>998</v>
      </c>
      <c r="F372" t="s">
        <v>1012</v>
      </c>
      <c r="G372" t="s">
        <v>80</v>
      </c>
      <c r="H372" t="s">
        <v>10</v>
      </c>
      <c r="I372">
        <v>0</v>
      </c>
      <c r="J372" t="s">
        <v>1025</v>
      </c>
      <c r="K372" s="9">
        <v>7.422</v>
      </c>
      <c r="L372" s="9">
        <v>1.799</v>
      </c>
      <c r="M372" s="9">
        <v>2.306</v>
      </c>
      <c r="N372" t="s">
        <v>14</v>
      </c>
      <c r="O372" s="9">
        <v>1.52</v>
      </c>
      <c r="S372" s="7">
        <v>42.12</v>
      </c>
      <c r="T372" s="7">
        <v>24.24</v>
      </c>
      <c r="X372" s="10" t="s">
        <v>428</v>
      </c>
      <c r="Y372" s="11" t="s">
        <v>1026</v>
      </c>
      <c r="Z372" t="s">
        <v>430</v>
      </c>
    </row>
    <row r="373" spans="1:26">
      <c r="A373">
        <v>585</v>
      </c>
      <c r="B373" t="s">
        <v>1009</v>
      </c>
      <c r="C373" t="s">
        <v>1010</v>
      </c>
      <c r="D373" t="s">
        <v>1011</v>
      </c>
      <c r="E373" t="s">
        <v>998</v>
      </c>
      <c r="F373" t="s">
        <v>1012</v>
      </c>
      <c r="G373" t="s">
        <v>85</v>
      </c>
      <c r="H373" t="s">
        <v>10</v>
      </c>
      <c r="I373">
        <v>0</v>
      </c>
      <c r="J373" t="s">
        <v>1027</v>
      </c>
      <c r="K373" s="9">
        <v>8.273999999999999</v>
      </c>
      <c r="L373" s="9">
        <v>2.955</v>
      </c>
      <c r="M373" s="9">
        <v>2.72</v>
      </c>
      <c r="N373" t="s">
        <v>14</v>
      </c>
      <c r="S373" s="7">
        <v>47.28</v>
      </c>
      <c r="T373" s="7">
        <v>35.71</v>
      </c>
      <c r="X373" s="10" t="s">
        <v>483</v>
      </c>
      <c r="Y373" s="11" t="s">
        <v>1028</v>
      </c>
      <c r="Z373" t="s">
        <v>430</v>
      </c>
    </row>
    <row r="374" spans="1:26">
      <c r="A374">
        <v>586</v>
      </c>
      <c r="B374" t="s">
        <v>1009</v>
      </c>
      <c r="C374" t="s">
        <v>1010</v>
      </c>
      <c r="D374" t="s">
        <v>1011</v>
      </c>
      <c r="E374" t="s">
        <v>998</v>
      </c>
      <c r="F374" t="s">
        <v>1012</v>
      </c>
      <c r="G374" t="s">
        <v>89</v>
      </c>
      <c r="H374" t="s">
        <v>10</v>
      </c>
      <c r="I374">
        <v>0</v>
      </c>
      <c r="J374" t="s">
        <v>1029</v>
      </c>
      <c r="K374" s="9">
        <v>4.085</v>
      </c>
      <c r="L374" s="9">
        <v>-0.209</v>
      </c>
      <c r="M374" s="9">
        <v>-0.195</v>
      </c>
      <c r="N374" t="s">
        <v>14</v>
      </c>
      <c r="O374" s="9">
        <v>-0.18</v>
      </c>
      <c r="S374" s="7">
        <v>21.86</v>
      </c>
      <c r="T374" s="7">
        <v>-5.12</v>
      </c>
      <c r="X374" s="10" t="s">
        <v>428</v>
      </c>
      <c r="Y374" s="11" t="s">
        <v>1030</v>
      </c>
      <c r="Z374" t="s">
        <v>430</v>
      </c>
    </row>
    <row r="375" spans="1:26">
      <c r="A375">
        <v>587</v>
      </c>
      <c r="B375" t="s">
        <v>1009</v>
      </c>
      <c r="C375" t="s">
        <v>1010</v>
      </c>
      <c r="D375" t="s">
        <v>1011</v>
      </c>
      <c r="E375" t="s">
        <v>998</v>
      </c>
      <c r="F375" t="s">
        <v>1012</v>
      </c>
      <c r="G375" t="s">
        <v>93</v>
      </c>
      <c r="H375" t="s">
        <v>10</v>
      </c>
      <c r="I375">
        <v>0</v>
      </c>
      <c r="J375" t="s">
        <v>1031</v>
      </c>
      <c r="K375" s="9">
        <v>7.786</v>
      </c>
      <c r="L375" s="9">
        <v>2.546</v>
      </c>
      <c r="M375" s="9">
        <v>-0.195</v>
      </c>
      <c r="N375" t="s">
        <v>14</v>
      </c>
      <c r="O375" s="9">
        <v>2</v>
      </c>
      <c r="S375" s="7">
        <v>47.21</v>
      </c>
      <c r="T375" s="7">
        <v>32.7</v>
      </c>
      <c r="X375" s="10" t="s">
        <v>428</v>
      </c>
      <c r="Y375" s="11" t="s">
        <v>1032</v>
      </c>
      <c r="Z375" t="s">
        <v>430</v>
      </c>
    </row>
    <row r="376" spans="1:26">
      <c r="A376">
        <v>588</v>
      </c>
      <c r="B376" t="s">
        <v>1009</v>
      </c>
      <c r="C376" t="s">
        <v>1010</v>
      </c>
      <c r="D376" t="s">
        <v>1011</v>
      </c>
      <c r="E376" t="s">
        <v>998</v>
      </c>
      <c r="F376" t="s">
        <v>1012</v>
      </c>
      <c r="G376" t="s">
        <v>98</v>
      </c>
      <c r="H376" t="s">
        <v>10</v>
      </c>
      <c r="I376">
        <v>0</v>
      </c>
      <c r="J376" t="s">
        <v>1033</v>
      </c>
      <c r="K376" s="9">
        <v>8.641999999999999</v>
      </c>
      <c r="L376" s="9">
        <v>3.004</v>
      </c>
      <c r="M376" s="9">
        <v>-0.195</v>
      </c>
      <c r="N376" t="s">
        <v>14</v>
      </c>
      <c r="O376" s="9">
        <v>2.34</v>
      </c>
      <c r="S376" s="7">
        <v>46.69</v>
      </c>
      <c r="T376" s="7">
        <v>34.76</v>
      </c>
      <c r="X376" s="10" t="s">
        <v>428</v>
      </c>
      <c r="Y376" s="11" t="s">
        <v>1034</v>
      </c>
      <c r="Z376" t="s">
        <v>430</v>
      </c>
    </row>
    <row r="377" spans="1:26">
      <c r="A377">
        <v>589</v>
      </c>
      <c r="B377" t="s">
        <v>1009</v>
      </c>
      <c r="C377" t="s">
        <v>1010</v>
      </c>
      <c r="D377" t="s">
        <v>1011</v>
      </c>
      <c r="E377" t="s">
        <v>998</v>
      </c>
      <c r="F377" t="s">
        <v>1012</v>
      </c>
      <c r="G377" t="s">
        <v>103</v>
      </c>
      <c r="H377" t="s">
        <v>10</v>
      </c>
      <c r="I377">
        <v>0</v>
      </c>
      <c r="J377" t="s">
        <v>1035</v>
      </c>
      <c r="K377" s="9">
        <v>6.643</v>
      </c>
      <c r="L377" s="9">
        <v>1.521</v>
      </c>
      <c r="M377" s="9">
        <v>1.492</v>
      </c>
      <c r="N377" t="s">
        <v>14</v>
      </c>
      <c r="S377" s="7">
        <v>39.47</v>
      </c>
      <c r="T377" s="7">
        <v>22.9</v>
      </c>
      <c r="X377" s="10" t="s">
        <v>483</v>
      </c>
      <c r="Y377" s="11" t="s">
        <v>1036</v>
      </c>
      <c r="Z377" t="s">
        <v>430</v>
      </c>
    </row>
    <row r="378" spans="1:26">
      <c r="A378">
        <v>590</v>
      </c>
      <c r="B378" t="s">
        <v>1009</v>
      </c>
      <c r="C378" t="s">
        <v>1010</v>
      </c>
      <c r="D378" t="s">
        <v>1011</v>
      </c>
      <c r="E378" t="s">
        <v>998</v>
      </c>
      <c r="F378" t="s">
        <v>1012</v>
      </c>
      <c r="G378" t="s">
        <v>107</v>
      </c>
      <c r="H378" t="s">
        <v>10</v>
      </c>
      <c r="I378">
        <v>0</v>
      </c>
      <c r="J378" t="s">
        <v>1037</v>
      </c>
      <c r="K378" s="9">
        <v>4.726</v>
      </c>
      <c r="L378" s="9">
        <v>-1.128</v>
      </c>
      <c r="M378" s="9">
        <v>-1.234</v>
      </c>
      <c r="N378" t="s">
        <v>14</v>
      </c>
      <c r="O378" s="9">
        <v>-1.12</v>
      </c>
      <c r="S378" s="7">
        <v>-0.74</v>
      </c>
      <c r="T378" s="7">
        <v>-23.87</v>
      </c>
      <c r="X378" s="10" t="s">
        <v>428</v>
      </c>
      <c r="Y378" s="11" t="s">
        <v>1038</v>
      </c>
      <c r="Z378" t="s">
        <v>430</v>
      </c>
    </row>
    <row r="379" spans="1:26">
      <c r="A379">
        <v>591</v>
      </c>
      <c r="B379" t="s">
        <v>1009</v>
      </c>
      <c r="C379" t="s">
        <v>1010</v>
      </c>
      <c r="D379" t="s">
        <v>1011</v>
      </c>
      <c r="E379" t="s">
        <v>998</v>
      </c>
      <c r="F379" t="s">
        <v>1012</v>
      </c>
      <c r="G379" t="s">
        <v>112</v>
      </c>
      <c r="H379" t="s">
        <v>10</v>
      </c>
      <c r="I379">
        <v>0</v>
      </c>
      <c r="J379" t="s">
        <v>1039</v>
      </c>
      <c r="K379" s="9">
        <v>3.693</v>
      </c>
      <c r="L379" s="9">
        <v>-2.303</v>
      </c>
      <c r="M379" s="9">
        <v>-1.234</v>
      </c>
      <c r="N379" t="s">
        <v>14</v>
      </c>
      <c r="O379" s="9">
        <v>-2.12</v>
      </c>
      <c r="S379" s="7">
        <v>-32.66</v>
      </c>
      <c r="T379" s="7">
        <v>-62.36</v>
      </c>
      <c r="X379" s="10" t="s">
        <v>428</v>
      </c>
      <c r="Y379" s="11" t="s">
        <v>1040</v>
      </c>
      <c r="Z379" t="s">
        <v>430</v>
      </c>
    </row>
    <row r="380" spans="1:26">
      <c r="A380">
        <v>592</v>
      </c>
      <c r="B380" t="s">
        <v>1009</v>
      </c>
      <c r="C380" t="s">
        <v>1010</v>
      </c>
      <c r="D380" t="s">
        <v>1011</v>
      </c>
      <c r="E380" t="s">
        <v>998</v>
      </c>
      <c r="F380" t="s">
        <v>1012</v>
      </c>
      <c r="G380" t="s">
        <v>116</v>
      </c>
      <c r="H380" t="s">
        <v>10</v>
      </c>
      <c r="I380">
        <v>0</v>
      </c>
      <c r="J380" t="s">
        <v>1041</v>
      </c>
      <c r="K380" s="9">
        <v>3.752</v>
      </c>
      <c r="L380" s="9">
        <v>-1.761</v>
      </c>
      <c r="M380" s="9">
        <v>-1.234</v>
      </c>
      <c r="N380" t="s">
        <v>14</v>
      </c>
      <c r="O380" s="9">
        <v>-1.73</v>
      </c>
      <c r="S380" s="7">
        <v>-17.8</v>
      </c>
      <c r="T380" s="7">
        <v>-46.93</v>
      </c>
      <c r="X380" s="10" t="s">
        <v>428</v>
      </c>
      <c r="Y380" s="11" t="s">
        <v>1042</v>
      </c>
      <c r="Z380" t="s">
        <v>430</v>
      </c>
    </row>
    <row r="381" spans="1:26">
      <c r="A381">
        <v>593</v>
      </c>
      <c r="B381" t="s">
        <v>1009</v>
      </c>
      <c r="C381" t="s">
        <v>1010</v>
      </c>
      <c r="D381" t="s">
        <v>1011</v>
      </c>
      <c r="E381" t="s">
        <v>998</v>
      </c>
      <c r="F381" t="s">
        <v>1012</v>
      </c>
      <c r="G381" t="s">
        <v>120</v>
      </c>
      <c r="H381" t="s">
        <v>10</v>
      </c>
      <c r="I381">
        <v>0</v>
      </c>
      <c r="J381" t="s">
        <v>1043</v>
      </c>
      <c r="K381" s="9">
        <v>4.01</v>
      </c>
      <c r="L381" s="9">
        <v>-1.472</v>
      </c>
      <c r="M381" s="9">
        <v>-1.43</v>
      </c>
      <c r="N381" t="s">
        <v>14</v>
      </c>
      <c r="S381" s="7">
        <v>-10.85</v>
      </c>
      <c r="T381" s="7">
        <v>-36.71</v>
      </c>
      <c r="X381" s="10" t="s">
        <v>483</v>
      </c>
      <c r="Y381" s="11" t="s">
        <v>1044</v>
      </c>
      <c r="Z381" t="s">
        <v>430</v>
      </c>
    </row>
    <row r="382" spans="1:26">
      <c r="A382">
        <v>594</v>
      </c>
      <c r="B382" t="s">
        <v>1009</v>
      </c>
      <c r="C382" t="s">
        <v>1010</v>
      </c>
      <c r="D382" t="s">
        <v>1011</v>
      </c>
      <c r="E382" t="s">
        <v>998</v>
      </c>
      <c r="F382" t="s">
        <v>1012</v>
      </c>
      <c r="G382" t="s">
        <v>124</v>
      </c>
      <c r="H382" t="s">
        <v>10</v>
      </c>
      <c r="I382">
        <v>0</v>
      </c>
      <c r="J382" t="s">
        <v>569</v>
      </c>
      <c r="K382" s="9">
        <v>8.709</v>
      </c>
      <c r="L382" s="9">
        <v>2.174</v>
      </c>
      <c r="M382" s="9">
        <v>1.87</v>
      </c>
      <c r="N382" t="s">
        <v>14</v>
      </c>
      <c r="O382" s="9">
        <v>1.67</v>
      </c>
      <c r="S382" s="7">
        <v>38.44</v>
      </c>
      <c r="T382" s="7">
        <v>24.96</v>
      </c>
      <c r="X382" s="10" t="s">
        <v>428</v>
      </c>
      <c r="Y382" s="11" t="s">
        <v>1045</v>
      </c>
      <c r="Z382" t="s">
        <v>430</v>
      </c>
    </row>
    <row r="383" spans="1:26">
      <c r="A383">
        <v>595</v>
      </c>
      <c r="B383" t="s">
        <v>1009</v>
      </c>
      <c r="C383" t="s">
        <v>1010</v>
      </c>
      <c r="D383" t="s">
        <v>1011</v>
      </c>
      <c r="E383" t="s">
        <v>998</v>
      </c>
      <c r="F383" t="s">
        <v>1012</v>
      </c>
      <c r="G383" t="s">
        <v>128</v>
      </c>
      <c r="H383" t="s">
        <v>10</v>
      </c>
      <c r="I383">
        <v>0</v>
      </c>
      <c r="J383" t="s">
        <v>1046</v>
      </c>
      <c r="K383" s="9">
        <v>5.824</v>
      </c>
      <c r="L383" s="9">
        <v>0.191</v>
      </c>
      <c r="M383" s="9">
        <v>1.87</v>
      </c>
      <c r="N383" t="s">
        <v>14</v>
      </c>
      <c r="O383" s="9">
        <v>0.71</v>
      </c>
      <c r="S383" s="7">
        <v>18.53</v>
      </c>
      <c r="T383" s="7">
        <v>3.28</v>
      </c>
      <c r="X383" s="10" t="s">
        <v>428</v>
      </c>
      <c r="Y383" s="11" t="s">
        <v>1047</v>
      </c>
      <c r="Z383" t="s">
        <v>430</v>
      </c>
    </row>
    <row r="384" spans="1:26">
      <c r="A384">
        <v>596</v>
      </c>
      <c r="B384" t="s">
        <v>1009</v>
      </c>
      <c r="C384" t="s">
        <v>1010</v>
      </c>
      <c r="D384" t="s">
        <v>1011</v>
      </c>
      <c r="E384" t="s">
        <v>998</v>
      </c>
      <c r="F384" t="s">
        <v>1012</v>
      </c>
      <c r="G384" t="s">
        <v>133</v>
      </c>
      <c r="H384" t="s">
        <v>10</v>
      </c>
      <c r="I384">
        <v>0</v>
      </c>
      <c r="J384" t="s">
        <v>1048</v>
      </c>
      <c r="K384" s="9">
        <v>6.811</v>
      </c>
      <c r="L384" s="9">
        <v>0.719</v>
      </c>
      <c r="M384" s="9">
        <v>1.87</v>
      </c>
      <c r="N384" t="s">
        <v>14</v>
      </c>
      <c r="O384" s="9">
        <v>0.3</v>
      </c>
      <c r="S384" s="7">
        <v>26.9</v>
      </c>
      <c r="T384" s="7">
        <v>10.56</v>
      </c>
      <c r="X384" s="10" t="s">
        <v>428</v>
      </c>
      <c r="Y384" s="11" t="s">
        <v>1049</v>
      </c>
      <c r="Z384" t="s">
        <v>430</v>
      </c>
    </row>
    <row r="385" spans="1:26">
      <c r="A385">
        <v>597</v>
      </c>
      <c r="B385" t="s">
        <v>1009</v>
      </c>
      <c r="C385" t="s">
        <v>1010</v>
      </c>
      <c r="D385" t="s">
        <v>1011</v>
      </c>
      <c r="E385" t="s">
        <v>998</v>
      </c>
      <c r="F385" t="s">
        <v>1012</v>
      </c>
      <c r="G385" t="s">
        <v>137</v>
      </c>
      <c r="H385" t="s">
        <v>10</v>
      </c>
      <c r="I385">
        <v>0</v>
      </c>
      <c r="J385" t="s">
        <v>1043</v>
      </c>
      <c r="K385" s="9">
        <v>7.75</v>
      </c>
      <c r="L385" s="9">
        <v>1.522</v>
      </c>
      <c r="M385" s="9">
        <v>0.887</v>
      </c>
      <c r="N385" t="s">
        <v>14</v>
      </c>
      <c r="S385" s="7">
        <v>35.32</v>
      </c>
      <c r="T385" s="7">
        <v>19.64</v>
      </c>
      <c r="X385" s="10" t="s">
        <v>483</v>
      </c>
      <c r="Y385" s="11" t="s">
        <v>1044</v>
      </c>
      <c r="Z385" t="s">
        <v>430</v>
      </c>
    </row>
    <row r="386" spans="1:26">
      <c r="A386">
        <v>598</v>
      </c>
      <c r="B386" t="s">
        <v>1009</v>
      </c>
      <c r="C386" t="s">
        <v>1010</v>
      </c>
      <c r="D386" t="s">
        <v>1011</v>
      </c>
      <c r="E386" t="s">
        <v>998</v>
      </c>
      <c r="F386" t="s">
        <v>1012</v>
      </c>
      <c r="G386" t="s">
        <v>141</v>
      </c>
      <c r="H386" t="s">
        <v>10</v>
      </c>
      <c r="I386">
        <v>0</v>
      </c>
      <c r="J386" t="s">
        <v>569</v>
      </c>
      <c r="K386" s="9">
        <v>13.643</v>
      </c>
      <c r="L386" s="9">
        <v>6.136</v>
      </c>
      <c r="M386" s="9">
        <v>5.24</v>
      </c>
      <c r="N386" t="s">
        <v>14</v>
      </c>
      <c r="O386" s="9">
        <v>4.6</v>
      </c>
      <c r="S386" s="7">
        <v>56.04</v>
      </c>
      <c r="T386" s="7">
        <v>44.98</v>
      </c>
      <c r="X386" s="10" t="s">
        <v>428</v>
      </c>
      <c r="Y386" s="11" t="s">
        <v>1045</v>
      </c>
      <c r="Z386" t="s">
        <v>430</v>
      </c>
    </row>
    <row r="387" spans="1:26">
      <c r="A387">
        <v>599</v>
      </c>
      <c r="B387" t="s">
        <v>1009</v>
      </c>
      <c r="C387" t="s">
        <v>1010</v>
      </c>
      <c r="D387" t="s">
        <v>1011</v>
      </c>
      <c r="E387" t="s">
        <v>998</v>
      </c>
      <c r="F387" t="s">
        <v>1012</v>
      </c>
      <c r="G387" t="s">
        <v>146</v>
      </c>
      <c r="H387" t="s">
        <v>10</v>
      </c>
      <c r="I387">
        <v>0</v>
      </c>
      <c r="J387" t="s">
        <v>1050</v>
      </c>
      <c r="K387" s="9">
        <v>8.053000000000001</v>
      </c>
      <c r="L387" s="9">
        <v>1.773</v>
      </c>
      <c r="M387" s="9">
        <v>1.583</v>
      </c>
      <c r="N387" t="s">
        <v>14</v>
      </c>
      <c r="O387" s="9">
        <v>1.41</v>
      </c>
      <c r="S387" s="7">
        <v>36.79</v>
      </c>
      <c r="T387" s="7">
        <v>22.02</v>
      </c>
      <c r="X387" s="10" t="s">
        <v>428</v>
      </c>
      <c r="Y387" s="11" t="s">
        <v>1051</v>
      </c>
      <c r="Z387" t="s">
        <v>430</v>
      </c>
    </row>
    <row r="388" spans="1:26">
      <c r="A388">
        <v>600</v>
      </c>
      <c r="B388" t="s">
        <v>1009</v>
      </c>
      <c r="C388" t="s">
        <v>1010</v>
      </c>
      <c r="D388" t="s">
        <v>1011</v>
      </c>
      <c r="E388" t="s">
        <v>998</v>
      </c>
      <c r="F388" t="s">
        <v>1012</v>
      </c>
      <c r="G388" t="s">
        <v>472</v>
      </c>
      <c r="H388" t="s">
        <v>10</v>
      </c>
      <c r="I388">
        <v>0</v>
      </c>
      <c r="J388" t="s">
        <v>1052</v>
      </c>
      <c r="K388" s="9">
        <v>9.301</v>
      </c>
      <c r="L388" s="9">
        <v>2.169</v>
      </c>
      <c r="M388" s="9">
        <v>1.885</v>
      </c>
      <c r="N388" t="s">
        <v>14</v>
      </c>
      <c r="O388" s="9">
        <v>1.68</v>
      </c>
      <c r="S388" s="7">
        <v>37.72</v>
      </c>
      <c r="T388" s="7">
        <v>23.32</v>
      </c>
      <c r="X388" s="10" t="s">
        <v>428</v>
      </c>
      <c r="Y388" s="11" t="s">
        <v>1053</v>
      </c>
      <c r="Z388" t="s">
        <v>430</v>
      </c>
    </row>
    <row r="389" spans="1:26">
      <c r="A389">
        <v>601</v>
      </c>
      <c r="B389" t="s">
        <v>1009</v>
      </c>
      <c r="C389" t="s">
        <v>1010</v>
      </c>
      <c r="D389" t="s">
        <v>1011</v>
      </c>
      <c r="E389" t="s">
        <v>998</v>
      </c>
      <c r="F389" t="s">
        <v>1012</v>
      </c>
      <c r="G389" t="s">
        <v>475</v>
      </c>
      <c r="H389" t="s">
        <v>10</v>
      </c>
      <c r="I389">
        <v>0</v>
      </c>
      <c r="J389" t="s">
        <v>1043</v>
      </c>
      <c r="K389" s="9">
        <v>11.315</v>
      </c>
      <c r="L389" s="9">
        <v>3.654</v>
      </c>
      <c r="M389" s="9">
        <v>3.201</v>
      </c>
      <c r="N389" t="s">
        <v>14</v>
      </c>
      <c r="S389" s="7">
        <v>44.67</v>
      </c>
      <c r="T389" s="7">
        <v>32.29</v>
      </c>
      <c r="X389" s="10" t="s">
        <v>483</v>
      </c>
      <c r="Y389" s="11" t="s">
        <v>1044</v>
      </c>
      <c r="Z389" t="s">
        <v>430</v>
      </c>
    </row>
    <row r="390" spans="1:26">
      <c r="A390">
        <v>602</v>
      </c>
      <c r="B390" t="s">
        <v>1009</v>
      </c>
      <c r="C390" t="s">
        <v>1010</v>
      </c>
      <c r="D390" t="s">
        <v>1011</v>
      </c>
      <c r="E390" t="s">
        <v>998</v>
      </c>
      <c r="F390" t="s">
        <v>1012</v>
      </c>
      <c r="G390" t="s">
        <v>155</v>
      </c>
      <c r="H390" t="s">
        <v>10</v>
      </c>
      <c r="I390">
        <v>0</v>
      </c>
      <c r="J390" t="s">
        <v>1050</v>
      </c>
      <c r="K390" s="9">
        <v>23.86</v>
      </c>
      <c r="L390" s="9">
        <v>16.135</v>
      </c>
      <c r="M390" s="9">
        <v>13.785</v>
      </c>
      <c r="N390" t="s">
        <v>14</v>
      </c>
      <c r="O390" s="9">
        <v>12.07</v>
      </c>
      <c r="S390" s="7">
        <v>74.41</v>
      </c>
      <c r="T390" s="7">
        <v>67.62</v>
      </c>
      <c r="X390" s="10" t="s">
        <v>428</v>
      </c>
      <c r="Y390" s="11" t="s">
        <v>1051</v>
      </c>
      <c r="Z390" t="s">
        <v>430</v>
      </c>
    </row>
    <row r="391" spans="1:26">
      <c r="A391">
        <v>53</v>
      </c>
      <c r="B391" t="s">
        <v>1054</v>
      </c>
      <c r="C391" t="s">
        <v>1055</v>
      </c>
      <c r="D391" t="s">
        <v>1056</v>
      </c>
      <c r="E391" t="s">
        <v>998</v>
      </c>
      <c r="F391" t="s">
        <v>1057</v>
      </c>
      <c r="G391" t="s">
        <v>50</v>
      </c>
      <c r="H391" t="s">
        <v>10</v>
      </c>
      <c r="I391">
        <v>0</v>
      </c>
      <c r="J391" t="s">
        <v>261</v>
      </c>
      <c r="K391" s="9">
        <v>55.33</v>
      </c>
      <c r="L391" s="9">
        <v>6.45</v>
      </c>
      <c r="M391" s="9">
        <v>4.88</v>
      </c>
      <c r="N391" t="s">
        <v>15</v>
      </c>
      <c r="Q391" s="9">
        <v>54.8</v>
      </c>
      <c r="R391" t="s">
        <v>100</v>
      </c>
      <c r="S391" s="7">
        <v>36.5</v>
      </c>
      <c r="V391" s="10" t="s">
        <v>1058</v>
      </c>
      <c r="X391" s="10" t="s">
        <v>1059</v>
      </c>
      <c r="Y391" s="10" t="s">
        <v>1060</v>
      </c>
      <c r="Z391" t="s">
        <v>56</v>
      </c>
    </row>
    <row r="392" spans="1:26">
      <c r="A392">
        <v>54</v>
      </c>
      <c r="B392" t="s">
        <v>1054</v>
      </c>
      <c r="C392" t="s">
        <v>1055</v>
      </c>
      <c r="D392" t="s">
        <v>1056</v>
      </c>
      <c r="E392" t="s">
        <v>998</v>
      </c>
      <c r="F392" t="s">
        <v>1057</v>
      </c>
      <c r="G392" t="s">
        <v>57</v>
      </c>
      <c r="H392" t="s">
        <v>10</v>
      </c>
      <c r="I392">
        <v>0</v>
      </c>
      <c r="J392" t="s">
        <v>58</v>
      </c>
      <c r="K392" s="9">
        <v>52.97</v>
      </c>
      <c r="L392" s="9">
        <v>8.15</v>
      </c>
      <c r="M392" s="9">
        <v>5.56</v>
      </c>
      <c r="N392" t="s">
        <v>15</v>
      </c>
      <c r="Q392" s="9">
        <v>51.5</v>
      </c>
      <c r="R392" t="s">
        <v>59</v>
      </c>
      <c r="S392" s="7">
        <v>39.5</v>
      </c>
      <c r="V392" s="10" t="s">
        <v>1061</v>
      </c>
      <c r="X392" s="10" t="s">
        <v>1062</v>
      </c>
      <c r="Y392" s="10" t="s">
        <v>1063</v>
      </c>
      <c r="Z392" t="s">
        <v>56</v>
      </c>
    </row>
    <row r="393" spans="1:26">
      <c r="A393">
        <v>55</v>
      </c>
      <c r="B393" t="s">
        <v>1054</v>
      </c>
      <c r="C393" t="s">
        <v>1055</v>
      </c>
      <c r="D393" t="s">
        <v>1056</v>
      </c>
      <c r="E393" t="s">
        <v>998</v>
      </c>
      <c r="F393" t="s">
        <v>1057</v>
      </c>
      <c r="G393" t="s">
        <v>62</v>
      </c>
      <c r="H393" t="s">
        <v>10</v>
      </c>
      <c r="I393">
        <v>0</v>
      </c>
      <c r="J393" t="s">
        <v>63</v>
      </c>
      <c r="K393" s="9">
        <v>66.95999999999999</v>
      </c>
      <c r="L393" s="9">
        <v>12.35</v>
      </c>
      <c r="M393" s="9">
        <v>9.369999999999999</v>
      </c>
      <c r="N393" t="s">
        <v>15</v>
      </c>
      <c r="Q393" s="9">
        <v>63</v>
      </c>
      <c r="R393" t="s">
        <v>59</v>
      </c>
      <c r="S393" s="7">
        <v>41.2</v>
      </c>
      <c r="V393" s="10" t="s">
        <v>1064</v>
      </c>
      <c r="X393" s="10" t="s">
        <v>1065</v>
      </c>
      <c r="Y393" s="10" t="s">
        <v>1066</v>
      </c>
      <c r="Z393" t="s">
        <v>56</v>
      </c>
    </row>
    <row r="394" spans="1:26">
      <c r="A394">
        <v>56</v>
      </c>
      <c r="B394" t="s">
        <v>1054</v>
      </c>
      <c r="C394" t="s">
        <v>1055</v>
      </c>
      <c r="D394" t="s">
        <v>1056</v>
      </c>
      <c r="E394" t="s">
        <v>998</v>
      </c>
      <c r="F394" t="s">
        <v>1057</v>
      </c>
      <c r="G394" t="s">
        <v>66</v>
      </c>
      <c r="H394" t="s">
        <v>10</v>
      </c>
      <c r="I394">
        <v>0</v>
      </c>
      <c r="J394" t="s">
        <v>1067</v>
      </c>
      <c r="K394" s="9">
        <v>61.55</v>
      </c>
      <c r="L394" s="9">
        <v>9.050000000000001</v>
      </c>
      <c r="M394" s="9">
        <v>6.61</v>
      </c>
      <c r="N394" t="s">
        <v>15</v>
      </c>
      <c r="Q394" s="9">
        <v>60.5</v>
      </c>
      <c r="R394" t="s">
        <v>100</v>
      </c>
      <c r="S394" s="7">
        <v>38</v>
      </c>
      <c r="V394" s="10" t="s">
        <v>1068</v>
      </c>
      <c r="X394" s="10" t="s">
        <v>1069</v>
      </c>
      <c r="Y394" s="10" t="s">
        <v>1070</v>
      </c>
      <c r="Z394" t="s">
        <v>56</v>
      </c>
    </row>
    <row r="395" spans="1:26">
      <c r="A395">
        <v>57</v>
      </c>
      <c r="B395" t="s">
        <v>1054</v>
      </c>
      <c r="C395" t="s">
        <v>1055</v>
      </c>
      <c r="D395" t="s">
        <v>1056</v>
      </c>
      <c r="E395" t="s">
        <v>998</v>
      </c>
      <c r="F395" t="s">
        <v>1057</v>
      </c>
      <c r="G395" t="s">
        <v>71</v>
      </c>
      <c r="H395" t="s">
        <v>10</v>
      </c>
      <c r="I395">
        <v>0</v>
      </c>
      <c r="J395" t="s">
        <v>72</v>
      </c>
      <c r="K395" s="9">
        <v>65.39</v>
      </c>
      <c r="L395" s="9">
        <v>9.380000000000001</v>
      </c>
      <c r="M395" s="9">
        <v>7.14</v>
      </c>
      <c r="N395" t="s">
        <v>15</v>
      </c>
      <c r="Q395" s="9">
        <v>63</v>
      </c>
      <c r="R395" t="s">
        <v>59</v>
      </c>
      <c r="S395" s="7">
        <v>37.8</v>
      </c>
      <c r="V395" s="10" t="s">
        <v>1071</v>
      </c>
      <c r="X395" s="10" t="s">
        <v>1072</v>
      </c>
      <c r="Y395" s="10" t="s">
        <v>1073</v>
      </c>
      <c r="Z395" t="s">
        <v>56</v>
      </c>
    </row>
    <row r="396" spans="1:26">
      <c r="A396">
        <v>58</v>
      </c>
      <c r="B396" t="s">
        <v>1054</v>
      </c>
      <c r="C396" t="s">
        <v>1055</v>
      </c>
      <c r="D396" t="s">
        <v>1056</v>
      </c>
      <c r="E396" t="s">
        <v>998</v>
      </c>
      <c r="F396" t="s">
        <v>1057</v>
      </c>
      <c r="G396" t="s">
        <v>75</v>
      </c>
      <c r="H396" t="s">
        <v>10</v>
      </c>
      <c r="I396">
        <v>0</v>
      </c>
      <c r="J396" t="s">
        <v>76</v>
      </c>
      <c r="K396" s="9">
        <v>63.67</v>
      </c>
      <c r="L396" s="9">
        <v>12.57</v>
      </c>
      <c r="M396" s="9">
        <v>9.630000000000001</v>
      </c>
      <c r="N396" t="s">
        <v>15</v>
      </c>
      <c r="Q396" s="9">
        <v>62</v>
      </c>
      <c r="R396" t="s">
        <v>59</v>
      </c>
      <c r="S396" s="7">
        <v>41.5</v>
      </c>
      <c r="V396" s="10" t="s">
        <v>1074</v>
      </c>
      <c r="X396" s="10" t="s">
        <v>1075</v>
      </c>
      <c r="Y396" s="10" t="s">
        <v>1076</v>
      </c>
      <c r="Z396" t="s">
        <v>56</v>
      </c>
    </row>
    <row r="397" spans="1:26">
      <c r="A397">
        <v>59</v>
      </c>
      <c r="B397" t="s">
        <v>1054</v>
      </c>
      <c r="C397" t="s">
        <v>1055</v>
      </c>
      <c r="D397" t="s">
        <v>1056</v>
      </c>
      <c r="E397" t="s">
        <v>998</v>
      </c>
      <c r="F397" t="s">
        <v>1057</v>
      </c>
      <c r="G397" t="s">
        <v>80</v>
      </c>
      <c r="H397" t="s">
        <v>10</v>
      </c>
      <c r="I397">
        <v>0</v>
      </c>
      <c r="J397" t="s">
        <v>81</v>
      </c>
      <c r="K397" s="9">
        <v>73.98</v>
      </c>
      <c r="L397" s="9">
        <v>15.82</v>
      </c>
      <c r="M397" s="9">
        <v>12.29</v>
      </c>
      <c r="N397" t="s">
        <v>15</v>
      </c>
      <c r="Q397" s="9">
        <v>72</v>
      </c>
      <c r="R397" t="s">
        <v>59</v>
      </c>
      <c r="S397" s="7">
        <v>43</v>
      </c>
      <c r="V397" s="10" t="s">
        <v>1077</v>
      </c>
      <c r="X397" s="10" t="s">
        <v>1078</v>
      </c>
      <c r="Y397" s="10" t="s">
        <v>1079</v>
      </c>
      <c r="Z397" t="s">
        <v>56</v>
      </c>
    </row>
    <row r="398" spans="1:26">
      <c r="A398">
        <v>60</v>
      </c>
      <c r="B398" t="s">
        <v>1054</v>
      </c>
      <c r="C398" t="s">
        <v>1055</v>
      </c>
      <c r="D398" t="s">
        <v>1056</v>
      </c>
      <c r="E398" t="s">
        <v>998</v>
      </c>
      <c r="F398" t="s">
        <v>1057</v>
      </c>
      <c r="G398" t="s">
        <v>85</v>
      </c>
      <c r="H398" t="s">
        <v>10</v>
      </c>
      <c r="I398">
        <v>0</v>
      </c>
      <c r="J398" t="s">
        <v>1080</v>
      </c>
      <c r="K398" s="9">
        <v>76.56999999999999</v>
      </c>
      <c r="L398" s="9">
        <v>13.87</v>
      </c>
      <c r="M398" s="9">
        <v>10.84</v>
      </c>
      <c r="N398" t="s">
        <v>15</v>
      </c>
      <c r="Q398" s="9">
        <v>75</v>
      </c>
      <c r="R398" t="s">
        <v>100</v>
      </c>
      <c r="S398" s="7">
        <v>41</v>
      </c>
      <c r="V398" s="10" t="s">
        <v>1081</v>
      </c>
      <c r="X398" s="10" t="s">
        <v>1082</v>
      </c>
      <c r="Y398" s="10" t="s">
        <v>1083</v>
      </c>
      <c r="Z398" t="s">
        <v>56</v>
      </c>
    </row>
    <row r="399" spans="1:26">
      <c r="A399">
        <v>61</v>
      </c>
      <c r="B399" t="s">
        <v>1054</v>
      </c>
      <c r="C399" t="s">
        <v>1055</v>
      </c>
      <c r="D399" t="s">
        <v>1056</v>
      </c>
      <c r="E399" t="s">
        <v>998</v>
      </c>
      <c r="F399" t="s">
        <v>1057</v>
      </c>
      <c r="G399" t="s">
        <v>89</v>
      </c>
      <c r="H399" t="s">
        <v>10</v>
      </c>
      <c r="I399">
        <v>0</v>
      </c>
      <c r="J399" t="s">
        <v>90</v>
      </c>
      <c r="K399" s="9">
        <v>77.78</v>
      </c>
      <c r="L399" s="9">
        <v>14.12</v>
      </c>
      <c r="M399" s="9">
        <v>11.32</v>
      </c>
      <c r="N399" t="s">
        <v>15</v>
      </c>
      <c r="Q399" s="9">
        <v>76.5</v>
      </c>
      <c r="R399" t="s">
        <v>100</v>
      </c>
      <c r="S399" s="7">
        <v>39.5</v>
      </c>
      <c r="V399" s="10" t="s">
        <v>1084</v>
      </c>
      <c r="X399" s="10" t="s">
        <v>1085</v>
      </c>
      <c r="Y399" s="10" t="s">
        <v>1086</v>
      </c>
      <c r="Z399" t="s">
        <v>56</v>
      </c>
    </row>
    <row r="400" spans="1:26">
      <c r="A400">
        <v>62</v>
      </c>
      <c r="B400" t="s">
        <v>1054</v>
      </c>
      <c r="C400" t="s">
        <v>1055</v>
      </c>
      <c r="D400" t="s">
        <v>1056</v>
      </c>
      <c r="E400" t="s">
        <v>998</v>
      </c>
      <c r="F400" t="s">
        <v>1057</v>
      </c>
      <c r="G400" t="s">
        <v>93</v>
      </c>
      <c r="H400" t="s">
        <v>10</v>
      </c>
      <c r="I400">
        <v>0</v>
      </c>
      <c r="J400" t="s">
        <v>94</v>
      </c>
      <c r="K400" s="9">
        <v>77.2</v>
      </c>
      <c r="L400" s="9">
        <v>14.1</v>
      </c>
      <c r="M400" s="9">
        <v>11.1</v>
      </c>
      <c r="N400" t="s">
        <v>15</v>
      </c>
      <c r="Q400" s="9">
        <v>76</v>
      </c>
      <c r="R400" t="s">
        <v>100</v>
      </c>
      <c r="S400" s="7">
        <v>40</v>
      </c>
      <c r="V400" s="10" t="s">
        <v>1087</v>
      </c>
      <c r="X400" s="10" t="s">
        <v>1088</v>
      </c>
      <c r="Y400" s="10" t="s">
        <v>1089</v>
      </c>
      <c r="Z400" t="s">
        <v>56</v>
      </c>
    </row>
    <row r="401" spans="1:26">
      <c r="A401">
        <v>63</v>
      </c>
      <c r="B401" t="s">
        <v>1054</v>
      </c>
      <c r="C401" t="s">
        <v>1055</v>
      </c>
      <c r="D401" t="s">
        <v>1056</v>
      </c>
      <c r="E401" t="s">
        <v>998</v>
      </c>
      <c r="F401" t="s">
        <v>1057</v>
      </c>
      <c r="G401" t="s">
        <v>98</v>
      </c>
      <c r="H401" t="s">
        <v>10</v>
      </c>
      <c r="I401">
        <v>0</v>
      </c>
      <c r="J401" t="s">
        <v>99</v>
      </c>
      <c r="K401" s="9">
        <v>76.78</v>
      </c>
      <c r="L401" s="9">
        <v>10.85</v>
      </c>
      <c r="M401" s="9">
        <v>9.390000000000001</v>
      </c>
      <c r="N401" t="s">
        <v>15</v>
      </c>
      <c r="Q401" s="9">
        <v>78</v>
      </c>
      <c r="R401" t="s">
        <v>52</v>
      </c>
      <c r="S401" s="7">
        <v>37</v>
      </c>
      <c r="V401" s="10" t="s">
        <v>1090</v>
      </c>
      <c r="X401" s="10" t="s">
        <v>1091</v>
      </c>
      <c r="Y401" s="10" t="s">
        <v>1092</v>
      </c>
      <c r="Z401" t="s">
        <v>56</v>
      </c>
    </row>
    <row r="402" spans="1:26">
      <c r="A402">
        <v>64</v>
      </c>
      <c r="B402" t="s">
        <v>1054</v>
      </c>
      <c r="C402" t="s">
        <v>1055</v>
      </c>
      <c r="D402" t="s">
        <v>1056</v>
      </c>
      <c r="E402" t="s">
        <v>998</v>
      </c>
      <c r="F402" t="s">
        <v>1057</v>
      </c>
      <c r="G402" t="s">
        <v>103</v>
      </c>
      <c r="H402" t="s">
        <v>10</v>
      </c>
      <c r="I402">
        <v>0</v>
      </c>
      <c r="J402" t="s">
        <v>1093</v>
      </c>
      <c r="K402" s="9">
        <v>70.45999999999999</v>
      </c>
      <c r="L402" s="9">
        <v>4.31</v>
      </c>
      <c r="M402" s="9">
        <v>23.84</v>
      </c>
      <c r="N402" t="s">
        <v>15</v>
      </c>
      <c r="Q402" s="9">
        <v>72</v>
      </c>
      <c r="R402" t="s">
        <v>52</v>
      </c>
      <c r="S402" s="7">
        <v>31</v>
      </c>
      <c r="V402" s="10" t="s">
        <v>1094</v>
      </c>
      <c r="X402" s="10" t="s">
        <v>1095</v>
      </c>
      <c r="Y402" s="10" t="s">
        <v>1096</v>
      </c>
      <c r="Z402" t="s">
        <v>56</v>
      </c>
    </row>
    <row r="403" spans="1:26">
      <c r="A403">
        <v>65</v>
      </c>
      <c r="B403" t="s">
        <v>1054</v>
      </c>
      <c r="C403" t="s">
        <v>1055</v>
      </c>
      <c r="D403" t="s">
        <v>1056</v>
      </c>
      <c r="E403" t="s">
        <v>998</v>
      </c>
      <c r="F403" t="s">
        <v>1057</v>
      </c>
      <c r="G403" t="s">
        <v>107</v>
      </c>
      <c r="H403" t="s">
        <v>10</v>
      </c>
      <c r="I403">
        <v>0</v>
      </c>
      <c r="J403" t="s">
        <v>108</v>
      </c>
      <c r="K403" s="9">
        <v>63.75</v>
      </c>
      <c r="L403" s="9">
        <v>0.64</v>
      </c>
      <c r="M403" s="9">
        <v>1.57</v>
      </c>
      <c r="N403" t="s">
        <v>15</v>
      </c>
      <c r="Q403" s="9">
        <v>65</v>
      </c>
      <c r="R403" t="s">
        <v>52</v>
      </c>
      <c r="S403" s="7">
        <v>28</v>
      </c>
      <c r="V403" s="10" t="s">
        <v>1097</v>
      </c>
      <c r="X403" s="10" t="s">
        <v>1098</v>
      </c>
      <c r="Y403" s="10" t="s">
        <v>1099</v>
      </c>
      <c r="Z403" t="s">
        <v>56</v>
      </c>
    </row>
    <row r="404" spans="1:26">
      <c r="A404">
        <v>66</v>
      </c>
      <c r="B404" t="s">
        <v>1054</v>
      </c>
      <c r="C404" t="s">
        <v>1055</v>
      </c>
      <c r="D404" t="s">
        <v>1056</v>
      </c>
      <c r="E404" t="s">
        <v>998</v>
      </c>
      <c r="F404" t="s">
        <v>1057</v>
      </c>
      <c r="G404" t="s">
        <v>112</v>
      </c>
      <c r="H404" t="s">
        <v>10</v>
      </c>
      <c r="I404">
        <v>0</v>
      </c>
      <c r="J404" t="s">
        <v>1100</v>
      </c>
      <c r="K404" s="9">
        <v>60.01</v>
      </c>
      <c r="L404" s="9">
        <v>0.67</v>
      </c>
      <c r="M404" s="9">
        <v>1.72</v>
      </c>
      <c r="N404" t="s">
        <v>15</v>
      </c>
      <c r="Q404" s="9">
        <v>61</v>
      </c>
      <c r="R404" t="s">
        <v>52</v>
      </c>
      <c r="S404" s="7">
        <v>29.5</v>
      </c>
      <c r="V404" s="10" t="s">
        <v>1101</v>
      </c>
      <c r="X404" s="10" t="s">
        <v>1102</v>
      </c>
      <c r="Y404" s="10" t="s">
        <v>1103</v>
      </c>
      <c r="Z404" t="s">
        <v>56</v>
      </c>
    </row>
    <row r="405" spans="1:26">
      <c r="A405">
        <v>67</v>
      </c>
      <c r="B405" t="s">
        <v>1054</v>
      </c>
      <c r="C405" t="s">
        <v>1055</v>
      </c>
      <c r="D405" t="s">
        <v>1056</v>
      </c>
      <c r="E405" t="s">
        <v>998</v>
      </c>
      <c r="F405" t="s">
        <v>1057</v>
      </c>
      <c r="G405" t="s">
        <v>116</v>
      </c>
      <c r="H405" t="s">
        <v>10</v>
      </c>
      <c r="I405">
        <v>0</v>
      </c>
      <c r="J405" t="s">
        <v>1104</v>
      </c>
      <c r="K405" s="9">
        <v>67.40000000000001</v>
      </c>
      <c r="L405" s="9">
        <v>2.43</v>
      </c>
      <c r="M405" s="9">
        <v>5.84</v>
      </c>
      <c r="N405" t="s">
        <v>15</v>
      </c>
      <c r="Q405" s="9">
        <v>66</v>
      </c>
      <c r="R405" t="s">
        <v>100</v>
      </c>
      <c r="S405" s="7">
        <v>32</v>
      </c>
      <c r="V405" s="10" t="s">
        <v>1105</v>
      </c>
      <c r="X405" s="10" t="s">
        <v>1106</v>
      </c>
      <c r="Y405" s="10" t="s">
        <v>1107</v>
      </c>
      <c r="Z405" t="s">
        <v>56</v>
      </c>
    </row>
    <row r="406" spans="1:26">
      <c r="A406">
        <v>68</v>
      </c>
      <c r="B406" t="s">
        <v>1054</v>
      </c>
      <c r="C406" t="s">
        <v>1055</v>
      </c>
      <c r="D406" t="s">
        <v>1056</v>
      </c>
      <c r="E406" t="s">
        <v>998</v>
      </c>
      <c r="F406" t="s">
        <v>1057</v>
      </c>
      <c r="G406" t="s">
        <v>120</v>
      </c>
      <c r="H406" t="s">
        <v>10</v>
      </c>
      <c r="I406">
        <v>0</v>
      </c>
      <c r="J406" t="s">
        <v>491</v>
      </c>
      <c r="K406" s="9">
        <v>67.78</v>
      </c>
      <c r="L406" s="9">
        <v>2.82</v>
      </c>
      <c r="M406" s="9">
        <v>6.34</v>
      </c>
      <c r="N406" t="s">
        <v>15</v>
      </c>
      <c r="Q406" s="9">
        <v>67</v>
      </c>
      <c r="R406" t="s">
        <v>100</v>
      </c>
      <c r="S406" s="7">
        <v>33.5</v>
      </c>
      <c r="V406" s="10" t="s">
        <v>1108</v>
      </c>
      <c r="X406" s="10" t="s">
        <v>1109</v>
      </c>
      <c r="Y406" s="10" t="s">
        <v>1110</v>
      </c>
      <c r="Z406" t="s">
        <v>56</v>
      </c>
    </row>
    <row r="407" spans="1:26">
      <c r="A407">
        <v>69</v>
      </c>
      <c r="B407" t="s">
        <v>1054</v>
      </c>
      <c r="C407" t="s">
        <v>1055</v>
      </c>
      <c r="D407" t="s">
        <v>1056</v>
      </c>
      <c r="E407" t="s">
        <v>998</v>
      </c>
      <c r="F407" t="s">
        <v>1057</v>
      </c>
      <c r="G407" t="s">
        <v>124</v>
      </c>
      <c r="H407" t="s">
        <v>10</v>
      </c>
      <c r="I407">
        <v>0</v>
      </c>
      <c r="J407" t="s">
        <v>125</v>
      </c>
      <c r="K407" s="9">
        <v>71.92</v>
      </c>
      <c r="L407" s="9">
        <v>6.61</v>
      </c>
      <c r="M407" s="9">
        <v>6.75</v>
      </c>
      <c r="N407" t="s">
        <v>15</v>
      </c>
      <c r="Q407" s="9">
        <v>70</v>
      </c>
      <c r="R407" t="s">
        <v>100</v>
      </c>
      <c r="S407" s="7">
        <v>35.5</v>
      </c>
      <c r="V407" s="10" t="s">
        <v>1111</v>
      </c>
      <c r="X407" s="10" t="s">
        <v>1112</v>
      </c>
      <c r="Y407" s="10" t="s">
        <v>1113</v>
      </c>
      <c r="Z407" t="s">
        <v>56</v>
      </c>
    </row>
    <row r="408" spans="1:26">
      <c r="A408">
        <v>70</v>
      </c>
      <c r="B408" t="s">
        <v>1054</v>
      </c>
      <c r="C408" t="s">
        <v>1055</v>
      </c>
      <c r="D408" t="s">
        <v>1056</v>
      </c>
      <c r="E408" t="s">
        <v>998</v>
      </c>
      <c r="F408" t="s">
        <v>1057</v>
      </c>
      <c r="G408" t="s">
        <v>128</v>
      </c>
      <c r="H408" t="s">
        <v>10</v>
      </c>
      <c r="I408">
        <v>0</v>
      </c>
      <c r="J408" t="s">
        <v>316</v>
      </c>
      <c r="K408" s="9">
        <v>74.06999999999999</v>
      </c>
      <c r="L408" s="9">
        <v>10.44</v>
      </c>
      <c r="M408" s="9">
        <v>9.84</v>
      </c>
      <c r="N408" t="s">
        <v>15</v>
      </c>
      <c r="Q408" s="9">
        <v>73</v>
      </c>
      <c r="R408" t="s">
        <v>59</v>
      </c>
      <c r="S408" s="7">
        <v>38.5</v>
      </c>
      <c r="V408" s="10" t="s">
        <v>1114</v>
      </c>
      <c r="X408" s="10" t="s">
        <v>1115</v>
      </c>
      <c r="Y408" s="10" t="s">
        <v>1116</v>
      </c>
      <c r="Z408" t="s">
        <v>56</v>
      </c>
    </row>
    <row r="409" spans="1:26">
      <c r="A409">
        <v>71</v>
      </c>
      <c r="B409" t="s">
        <v>1054</v>
      </c>
      <c r="C409" t="s">
        <v>1055</v>
      </c>
      <c r="D409" t="s">
        <v>1056</v>
      </c>
      <c r="E409" t="s">
        <v>998</v>
      </c>
      <c r="F409" t="s">
        <v>1057</v>
      </c>
      <c r="G409" t="s">
        <v>133</v>
      </c>
      <c r="H409" t="s">
        <v>10</v>
      </c>
      <c r="I409">
        <v>0</v>
      </c>
      <c r="J409" t="s">
        <v>134</v>
      </c>
      <c r="K409" s="9">
        <v>79.09999999999999</v>
      </c>
      <c r="L409" s="9">
        <v>9.18</v>
      </c>
      <c r="M409" s="9">
        <v>10.1</v>
      </c>
      <c r="N409" t="s">
        <v>15</v>
      </c>
      <c r="Q409" s="9">
        <v>80</v>
      </c>
      <c r="R409" t="s">
        <v>52</v>
      </c>
      <c r="S409" s="7">
        <v>36.5</v>
      </c>
      <c r="V409" s="10" t="s">
        <v>1117</v>
      </c>
      <c r="X409" s="10" t="s">
        <v>1118</v>
      </c>
      <c r="Y409" s="10" t="s">
        <v>1119</v>
      </c>
      <c r="Z409" t="s">
        <v>56</v>
      </c>
    </row>
    <row r="410" spans="1:26">
      <c r="A410">
        <v>72</v>
      </c>
      <c r="B410" t="s">
        <v>1054</v>
      </c>
      <c r="C410" t="s">
        <v>1055</v>
      </c>
      <c r="D410" t="s">
        <v>1056</v>
      </c>
      <c r="E410" t="s">
        <v>998</v>
      </c>
      <c r="F410" t="s">
        <v>1057</v>
      </c>
      <c r="G410" t="s">
        <v>137</v>
      </c>
      <c r="H410" t="s">
        <v>10</v>
      </c>
      <c r="I410">
        <v>0</v>
      </c>
      <c r="J410" t="s">
        <v>607</v>
      </c>
      <c r="K410" s="9">
        <v>75.77</v>
      </c>
      <c r="L410" s="9">
        <v>6.5</v>
      </c>
      <c r="M410" s="9">
        <v>5.8</v>
      </c>
      <c r="N410" t="s">
        <v>15</v>
      </c>
      <c r="Q410" s="9">
        <v>78.2</v>
      </c>
      <c r="R410" t="s">
        <v>52</v>
      </c>
      <c r="S410" s="7">
        <v>34.5</v>
      </c>
      <c r="V410" s="10" t="s">
        <v>1120</v>
      </c>
      <c r="X410" s="10" t="s">
        <v>1121</v>
      </c>
      <c r="Y410" s="10" t="s">
        <v>1122</v>
      </c>
      <c r="Z410" t="s">
        <v>56</v>
      </c>
    </row>
    <row r="411" spans="1:26">
      <c r="A411">
        <v>73</v>
      </c>
      <c r="B411" t="s">
        <v>1054</v>
      </c>
      <c r="C411" t="s">
        <v>1055</v>
      </c>
      <c r="D411" t="s">
        <v>1056</v>
      </c>
      <c r="E411" t="s">
        <v>998</v>
      </c>
      <c r="F411" t="s">
        <v>1057</v>
      </c>
      <c r="G411" t="s">
        <v>141</v>
      </c>
      <c r="H411" t="s">
        <v>10</v>
      </c>
      <c r="I411">
        <v>0</v>
      </c>
      <c r="J411" t="s">
        <v>325</v>
      </c>
      <c r="K411" s="9">
        <v>79</v>
      </c>
      <c r="L411" s="9">
        <v>8.699999999999999</v>
      </c>
      <c r="M411" s="9">
        <v>7.3</v>
      </c>
      <c r="N411" t="s">
        <v>15</v>
      </c>
      <c r="Q411" s="9">
        <v>77.5</v>
      </c>
      <c r="R411" t="s">
        <v>59</v>
      </c>
      <c r="S411" s="7">
        <v>37</v>
      </c>
      <c r="V411" s="10" t="s">
        <v>1123</v>
      </c>
      <c r="X411" s="10" t="s">
        <v>1124</v>
      </c>
      <c r="Y411" s="10" t="s">
        <v>1125</v>
      </c>
      <c r="Z411" t="s">
        <v>56</v>
      </c>
    </row>
    <row r="412" spans="1:26">
      <c r="A412">
        <v>74</v>
      </c>
      <c r="B412" t="s">
        <v>1054</v>
      </c>
      <c r="C412" t="s">
        <v>1055</v>
      </c>
      <c r="D412" t="s">
        <v>1056</v>
      </c>
      <c r="E412" t="s">
        <v>998</v>
      </c>
      <c r="F412" t="s">
        <v>1057</v>
      </c>
      <c r="G412" t="s">
        <v>146</v>
      </c>
      <c r="H412" t="s">
        <v>10</v>
      </c>
      <c r="I412">
        <v>0</v>
      </c>
      <c r="J412" t="s">
        <v>147</v>
      </c>
      <c r="K412" s="9">
        <v>82.5</v>
      </c>
      <c r="L412" s="9">
        <v>10.8</v>
      </c>
      <c r="M412" s="9">
        <v>8.9</v>
      </c>
      <c r="N412" t="s">
        <v>15</v>
      </c>
      <c r="Q412" s="9">
        <v>81</v>
      </c>
      <c r="R412" t="s">
        <v>59</v>
      </c>
      <c r="S412" s="7">
        <v>39</v>
      </c>
      <c r="V412" s="10" t="s">
        <v>1126</v>
      </c>
      <c r="X412" s="10" t="s">
        <v>1127</v>
      </c>
      <c r="Y412" s="10" t="s">
        <v>1128</v>
      </c>
      <c r="Z412" t="s">
        <v>56</v>
      </c>
    </row>
    <row r="413" spans="1:26">
      <c r="A413">
        <v>75</v>
      </c>
      <c r="B413" t="s">
        <v>1054</v>
      </c>
      <c r="C413" t="s">
        <v>1055</v>
      </c>
      <c r="D413" t="s">
        <v>1056</v>
      </c>
      <c r="E413" t="s">
        <v>998</v>
      </c>
      <c r="F413" t="s">
        <v>1057</v>
      </c>
      <c r="G413" t="s">
        <v>150</v>
      </c>
      <c r="H413" t="s">
        <v>10</v>
      </c>
      <c r="I413">
        <v>0</v>
      </c>
      <c r="J413" t="s">
        <v>151</v>
      </c>
      <c r="K413" s="9">
        <v>88</v>
      </c>
      <c r="L413" s="9">
        <v>14.2</v>
      </c>
      <c r="M413" s="9">
        <v>11.8</v>
      </c>
      <c r="N413" t="s">
        <v>15</v>
      </c>
      <c r="Q413" s="9">
        <v>86</v>
      </c>
      <c r="R413" t="s">
        <v>59</v>
      </c>
      <c r="S413" s="7">
        <v>42</v>
      </c>
      <c r="V413" s="10" t="s">
        <v>1129</v>
      </c>
      <c r="X413" s="10" t="s">
        <v>1130</v>
      </c>
      <c r="Y413" s="10" t="s">
        <v>1131</v>
      </c>
      <c r="Z413" t="s">
        <v>56</v>
      </c>
    </row>
    <row r="414" spans="1:26">
      <c r="A414">
        <v>76</v>
      </c>
      <c r="B414" t="s">
        <v>1054</v>
      </c>
      <c r="C414" t="s">
        <v>1055</v>
      </c>
      <c r="D414" t="s">
        <v>1056</v>
      </c>
      <c r="E414" t="s">
        <v>998</v>
      </c>
      <c r="F414" t="s">
        <v>1057</v>
      </c>
      <c r="G414" t="s">
        <v>155</v>
      </c>
      <c r="H414" t="s">
        <v>10</v>
      </c>
      <c r="I414">
        <v>0</v>
      </c>
      <c r="J414" t="s">
        <v>335</v>
      </c>
      <c r="K414" s="9">
        <v>171.5</v>
      </c>
      <c r="L414" s="9">
        <v>89.5</v>
      </c>
      <c r="M414" s="9">
        <v>13</v>
      </c>
      <c r="N414" t="s">
        <v>15</v>
      </c>
      <c r="Q414" s="9">
        <v>89.5</v>
      </c>
      <c r="R414" t="s">
        <v>59</v>
      </c>
      <c r="S414" s="7">
        <v>42.5</v>
      </c>
      <c r="T414" s="7">
        <v>52.2</v>
      </c>
      <c r="V414" s="10" t="s">
        <v>1132</v>
      </c>
      <c r="X414" s="10" t="s">
        <v>1133</v>
      </c>
      <c r="Y414" s="10" t="s">
        <v>1134</v>
      </c>
      <c r="Z414" t="s">
        <v>56</v>
      </c>
    </row>
    <row r="415" spans="1:26">
      <c r="A415">
        <v>27</v>
      </c>
      <c r="B415" t="s">
        <v>1140</v>
      </c>
      <c r="C415" t="s">
        <v>1141</v>
      </c>
      <c r="D415" t="s">
        <v>1142</v>
      </c>
      <c r="E415" t="s">
        <v>998</v>
      </c>
      <c r="F415" t="s">
        <v>1143</v>
      </c>
      <c r="G415" t="s">
        <v>50</v>
      </c>
      <c r="H415" t="s">
        <v>10</v>
      </c>
      <c r="I415">
        <v>0</v>
      </c>
      <c r="J415" t="s">
        <v>1144</v>
      </c>
      <c r="K415" s="9">
        <v>6.35</v>
      </c>
      <c r="L415" s="9">
        <v>0.3</v>
      </c>
      <c r="M415" s="9">
        <v>0.21</v>
      </c>
      <c r="N415" t="s">
        <v>15</v>
      </c>
      <c r="Q415" s="9">
        <v>6.15</v>
      </c>
      <c r="R415" t="s">
        <v>100</v>
      </c>
      <c r="S415" s="7">
        <v>27</v>
      </c>
      <c r="V415" s="10" t="s">
        <v>1145</v>
      </c>
      <c r="X415" s="10" t="s">
        <v>1146</v>
      </c>
      <c r="Y415" s="10" t="s">
        <v>1147</v>
      </c>
      <c r="Z415" t="s">
        <v>56</v>
      </c>
    </row>
    <row r="416" spans="1:26">
      <c r="A416">
        <v>28</v>
      </c>
      <c r="B416" t="s">
        <v>1140</v>
      </c>
      <c r="C416" t="s">
        <v>1141</v>
      </c>
      <c r="D416" t="s">
        <v>1142</v>
      </c>
      <c r="E416" t="s">
        <v>998</v>
      </c>
      <c r="F416" t="s">
        <v>1143</v>
      </c>
      <c r="G416" t="s">
        <v>57</v>
      </c>
      <c r="H416" t="s">
        <v>10</v>
      </c>
      <c r="I416">
        <v>0</v>
      </c>
      <c r="J416" t="s">
        <v>1148</v>
      </c>
      <c r="K416" s="9">
        <v>8.609999999999999</v>
      </c>
      <c r="L416" s="9">
        <v>1.95</v>
      </c>
      <c r="M416" s="9">
        <v>1.26</v>
      </c>
      <c r="N416" t="s">
        <v>15</v>
      </c>
      <c r="Q416" s="9">
        <v>7.8</v>
      </c>
      <c r="R416" t="s">
        <v>59</v>
      </c>
      <c r="S416" s="7">
        <v>38.5</v>
      </c>
      <c r="V416" s="10" t="s">
        <v>1149</v>
      </c>
      <c r="X416" s="10" t="s">
        <v>1150</v>
      </c>
      <c r="Y416" s="10" t="s">
        <v>1151</v>
      </c>
      <c r="Z416" t="s">
        <v>56</v>
      </c>
    </row>
    <row r="417" spans="1:26">
      <c r="A417">
        <v>29</v>
      </c>
      <c r="B417" t="s">
        <v>1140</v>
      </c>
      <c r="C417" t="s">
        <v>1141</v>
      </c>
      <c r="D417" t="s">
        <v>1142</v>
      </c>
      <c r="E417" t="s">
        <v>998</v>
      </c>
      <c r="F417" t="s">
        <v>1143</v>
      </c>
      <c r="G417" t="s">
        <v>62</v>
      </c>
      <c r="H417" t="s">
        <v>10</v>
      </c>
      <c r="I417">
        <v>0</v>
      </c>
      <c r="J417" t="s">
        <v>1152</v>
      </c>
      <c r="K417" s="9">
        <v>8.130000000000001</v>
      </c>
      <c r="L417" s="9">
        <v>1.3</v>
      </c>
      <c r="M417" s="9">
        <v>1.08</v>
      </c>
      <c r="N417" t="s">
        <v>15</v>
      </c>
      <c r="Q417" s="9">
        <v>7.9</v>
      </c>
      <c r="R417" t="s">
        <v>100</v>
      </c>
      <c r="S417" s="7">
        <v>33.1</v>
      </c>
      <c r="V417" s="10" t="s">
        <v>1153</v>
      </c>
      <c r="X417" s="10" t="s">
        <v>1154</v>
      </c>
      <c r="Y417" s="10" t="s">
        <v>1155</v>
      </c>
      <c r="Z417" t="s">
        <v>56</v>
      </c>
    </row>
    <row r="418" spans="1:26">
      <c r="A418">
        <v>30</v>
      </c>
      <c r="B418" t="s">
        <v>1140</v>
      </c>
      <c r="C418" t="s">
        <v>1141</v>
      </c>
      <c r="D418" t="s">
        <v>1142</v>
      </c>
      <c r="E418" t="s">
        <v>998</v>
      </c>
      <c r="F418" t="s">
        <v>1143</v>
      </c>
      <c r="G418" t="s">
        <v>66</v>
      </c>
      <c r="H418" t="s">
        <v>10</v>
      </c>
      <c r="I418">
        <v>0</v>
      </c>
      <c r="J418" t="s">
        <v>1067</v>
      </c>
      <c r="K418" s="9">
        <v>7.97</v>
      </c>
      <c r="L418" s="9">
        <v>0.97</v>
      </c>
      <c r="M418" s="9">
        <v>1.77</v>
      </c>
      <c r="N418" t="s">
        <v>15</v>
      </c>
      <c r="Q418" s="9">
        <v>7.8</v>
      </c>
      <c r="R418" t="s">
        <v>100</v>
      </c>
      <c r="S418" s="7">
        <v>31</v>
      </c>
      <c r="V418" s="10" t="s">
        <v>1156</v>
      </c>
      <c r="X418" s="10" t="s">
        <v>1157</v>
      </c>
      <c r="Y418" s="10" t="s">
        <v>1158</v>
      </c>
      <c r="Z418" t="s">
        <v>56</v>
      </c>
    </row>
    <row r="419" spans="1:26">
      <c r="A419">
        <v>31</v>
      </c>
      <c r="B419" t="s">
        <v>1140</v>
      </c>
      <c r="C419" t="s">
        <v>1141</v>
      </c>
      <c r="D419" t="s">
        <v>1142</v>
      </c>
      <c r="E419" t="s">
        <v>998</v>
      </c>
      <c r="F419" t="s">
        <v>1143</v>
      </c>
      <c r="G419" t="s">
        <v>71</v>
      </c>
      <c r="H419" t="s">
        <v>10</v>
      </c>
      <c r="I419">
        <v>0</v>
      </c>
      <c r="J419" t="s">
        <v>1159</v>
      </c>
      <c r="K419" s="9">
        <v>8.49</v>
      </c>
      <c r="L419" s="9">
        <v>1.32</v>
      </c>
      <c r="M419" s="9">
        <v>0.99</v>
      </c>
      <c r="N419" t="s">
        <v>15</v>
      </c>
      <c r="Q419" s="9">
        <v>8.300000000000001</v>
      </c>
      <c r="R419" t="s">
        <v>100</v>
      </c>
      <c r="S419" s="7">
        <v>34</v>
      </c>
      <c r="V419" s="10" t="s">
        <v>1160</v>
      </c>
      <c r="X419" s="10" t="s">
        <v>1161</v>
      </c>
      <c r="Y419" s="10" t="s">
        <v>1162</v>
      </c>
      <c r="Z419" t="s">
        <v>56</v>
      </c>
    </row>
    <row r="420" spans="1:26">
      <c r="A420">
        <v>32</v>
      </c>
      <c r="B420" t="s">
        <v>1140</v>
      </c>
      <c r="C420" t="s">
        <v>1141</v>
      </c>
      <c r="D420" t="s">
        <v>1142</v>
      </c>
      <c r="E420" t="s">
        <v>998</v>
      </c>
      <c r="F420" t="s">
        <v>1143</v>
      </c>
      <c r="G420" t="s">
        <v>75</v>
      </c>
      <c r="H420" t="s">
        <v>10</v>
      </c>
      <c r="I420">
        <v>0</v>
      </c>
      <c r="J420" t="s">
        <v>1163</v>
      </c>
      <c r="K420" s="9">
        <v>10.32</v>
      </c>
      <c r="L420" s="9">
        <v>2.69</v>
      </c>
      <c r="M420" s="9">
        <v>1.99</v>
      </c>
      <c r="N420" t="s">
        <v>15</v>
      </c>
      <c r="Q420" s="9">
        <v>9.5</v>
      </c>
      <c r="R420" t="s">
        <v>59</v>
      </c>
      <c r="S420" s="7">
        <v>42</v>
      </c>
      <c r="V420" s="10" t="s">
        <v>1164</v>
      </c>
      <c r="X420" s="10" t="s">
        <v>1165</v>
      </c>
      <c r="Y420" s="10" t="s">
        <v>1166</v>
      </c>
      <c r="Z420" t="s">
        <v>56</v>
      </c>
    </row>
    <row r="421" spans="1:26">
      <c r="A421">
        <v>33</v>
      </c>
      <c r="B421" t="s">
        <v>1140</v>
      </c>
      <c r="C421" t="s">
        <v>1141</v>
      </c>
      <c r="D421" t="s">
        <v>1142</v>
      </c>
      <c r="E421" t="s">
        <v>998</v>
      </c>
      <c r="F421" t="s">
        <v>1143</v>
      </c>
      <c r="G421" t="s">
        <v>80</v>
      </c>
      <c r="H421" t="s">
        <v>10</v>
      </c>
      <c r="I421">
        <v>0</v>
      </c>
      <c r="J421" t="s">
        <v>589</v>
      </c>
      <c r="K421" s="9">
        <v>11.81</v>
      </c>
      <c r="L421" s="9">
        <v>4.17</v>
      </c>
      <c r="M421" s="9">
        <v>3.32</v>
      </c>
      <c r="N421" t="s">
        <v>15</v>
      </c>
      <c r="Q421" s="9">
        <v>11</v>
      </c>
      <c r="R421" t="s">
        <v>59</v>
      </c>
      <c r="S421" s="7">
        <v>47.5</v>
      </c>
      <c r="V421" s="10" t="s">
        <v>1164</v>
      </c>
      <c r="X421" s="10" t="s">
        <v>1167</v>
      </c>
      <c r="Y421" s="10" t="s">
        <v>1168</v>
      </c>
      <c r="Z421" t="s">
        <v>56</v>
      </c>
    </row>
    <row r="422" spans="1:26">
      <c r="A422">
        <v>34</v>
      </c>
      <c r="B422" t="s">
        <v>1140</v>
      </c>
      <c r="C422" t="s">
        <v>1141</v>
      </c>
      <c r="D422" t="s">
        <v>1142</v>
      </c>
      <c r="E422" t="s">
        <v>998</v>
      </c>
      <c r="F422" t="s">
        <v>1143</v>
      </c>
      <c r="G422" t="s">
        <v>85</v>
      </c>
      <c r="H422" t="s">
        <v>10</v>
      </c>
      <c r="I422">
        <v>0</v>
      </c>
      <c r="J422" t="s">
        <v>1080</v>
      </c>
      <c r="K422" s="9">
        <v>12.38</v>
      </c>
      <c r="L422" s="9">
        <v>4.22</v>
      </c>
      <c r="M422" s="9">
        <v>3.32</v>
      </c>
      <c r="N422" t="s">
        <v>15</v>
      </c>
      <c r="Q422" s="9">
        <v>12</v>
      </c>
      <c r="R422" t="s">
        <v>100</v>
      </c>
      <c r="S422" s="7">
        <v>48</v>
      </c>
      <c r="V422" s="10" t="s">
        <v>1156</v>
      </c>
      <c r="X422" s="10" t="s">
        <v>1169</v>
      </c>
      <c r="Y422" s="10" t="s">
        <v>1170</v>
      </c>
      <c r="Z422" t="s">
        <v>56</v>
      </c>
    </row>
    <row r="423" spans="1:26">
      <c r="A423">
        <v>35</v>
      </c>
      <c r="B423" t="s">
        <v>1140</v>
      </c>
      <c r="C423" t="s">
        <v>1141</v>
      </c>
      <c r="D423" t="s">
        <v>1142</v>
      </c>
      <c r="E423" t="s">
        <v>998</v>
      </c>
      <c r="F423" t="s">
        <v>1143</v>
      </c>
      <c r="G423" t="s">
        <v>89</v>
      </c>
      <c r="H423" t="s">
        <v>10</v>
      </c>
      <c r="I423">
        <v>0</v>
      </c>
      <c r="J423" t="s">
        <v>287</v>
      </c>
      <c r="K423" s="9">
        <v>12.16</v>
      </c>
      <c r="L423" s="9">
        <v>2.86</v>
      </c>
      <c r="M423" s="9">
        <v>1.98</v>
      </c>
      <c r="N423" t="s">
        <v>15</v>
      </c>
      <c r="Q423" s="9">
        <v>12</v>
      </c>
      <c r="R423" t="s">
        <v>100</v>
      </c>
      <c r="S423" s="7">
        <v>39</v>
      </c>
      <c r="V423" s="10" t="s">
        <v>1160</v>
      </c>
      <c r="X423" s="10" t="s">
        <v>1171</v>
      </c>
      <c r="Y423" s="10" t="s">
        <v>1172</v>
      </c>
      <c r="Z423" t="s">
        <v>56</v>
      </c>
    </row>
    <row r="424" spans="1:26">
      <c r="A424">
        <v>36</v>
      </c>
      <c r="B424" t="s">
        <v>1140</v>
      </c>
      <c r="C424" t="s">
        <v>1141</v>
      </c>
      <c r="D424" t="s">
        <v>1142</v>
      </c>
      <c r="E424" t="s">
        <v>998</v>
      </c>
      <c r="F424" t="s">
        <v>1143</v>
      </c>
      <c r="G424" t="s">
        <v>93</v>
      </c>
      <c r="H424" t="s">
        <v>10</v>
      </c>
      <c r="I424">
        <v>0</v>
      </c>
      <c r="J424" t="s">
        <v>291</v>
      </c>
      <c r="K424" s="9">
        <v>13.81</v>
      </c>
      <c r="L424" s="9">
        <v>4.19</v>
      </c>
      <c r="M424" s="9">
        <v>2.88</v>
      </c>
      <c r="N424" t="s">
        <v>15</v>
      </c>
      <c r="Q424" s="9">
        <v>13.5</v>
      </c>
      <c r="R424" t="s">
        <v>100</v>
      </c>
      <c r="S424" s="7">
        <v>45</v>
      </c>
      <c r="V424" s="10" t="s">
        <v>1173</v>
      </c>
      <c r="X424" s="10" t="s">
        <v>1174</v>
      </c>
      <c r="Y424" s="10" t="s">
        <v>1175</v>
      </c>
      <c r="Z424" t="s">
        <v>56</v>
      </c>
    </row>
    <row r="425" spans="1:26">
      <c r="A425">
        <v>37</v>
      </c>
      <c r="B425" t="s">
        <v>1140</v>
      </c>
      <c r="C425" t="s">
        <v>1141</v>
      </c>
      <c r="D425" t="s">
        <v>1142</v>
      </c>
      <c r="E425" t="s">
        <v>998</v>
      </c>
      <c r="F425" t="s">
        <v>1143</v>
      </c>
      <c r="G425" t="s">
        <v>98</v>
      </c>
      <c r="H425" t="s">
        <v>10</v>
      </c>
      <c r="I425">
        <v>0</v>
      </c>
      <c r="J425" t="s">
        <v>295</v>
      </c>
      <c r="K425" s="9">
        <v>10.98</v>
      </c>
      <c r="L425" s="9">
        <v>1.66</v>
      </c>
      <c r="M425" s="9">
        <v>1.1</v>
      </c>
      <c r="N425" t="s">
        <v>15</v>
      </c>
      <c r="Q425" s="9">
        <v>11.8</v>
      </c>
      <c r="R425" t="s">
        <v>52</v>
      </c>
      <c r="S425" s="7">
        <v>31</v>
      </c>
      <c r="V425" s="10" t="s">
        <v>1156</v>
      </c>
      <c r="X425" s="10" t="s">
        <v>1176</v>
      </c>
      <c r="Y425" s="10" t="s">
        <v>1177</v>
      </c>
      <c r="Z425" t="s">
        <v>56</v>
      </c>
    </row>
    <row r="426" spans="1:26">
      <c r="A426">
        <v>38</v>
      </c>
      <c r="B426" t="s">
        <v>1140</v>
      </c>
      <c r="C426" t="s">
        <v>1141</v>
      </c>
      <c r="D426" t="s">
        <v>1142</v>
      </c>
      <c r="E426" t="s">
        <v>998</v>
      </c>
      <c r="F426" t="s">
        <v>1143</v>
      </c>
      <c r="G426" t="s">
        <v>103</v>
      </c>
      <c r="H426" t="s">
        <v>10</v>
      </c>
      <c r="I426">
        <v>0</v>
      </c>
      <c r="J426" t="s">
        <v>1093</v>
      </c>
      <c r="K426" s="9">
        <v>7.7</v>
      </c>
      <c r="L426" s="9">
        <v>-1.89</v>
      </c>
      <c r="M426" s="9">
        <v>-3.52</v>
      </c>
      <c r="N426" t="s">
        <v>15</v>
      </c>
      <c r="Q426" s="9">
        <v>8.5</v>
      </c>
      <c r="R426" t="s">
        <v>52</v>
      </c>
      <c r="S426" s="7">
        <v>10.5</v>
      </c>
      <c r="V426" s="10" t="s">
        <v>1156</v>
      </c>
      <c r="X426" s="10" t="s">
        <v>1178</v>
      </c>
      <c r="Y426" s="10" t="s">
        <v>1179</v>
      </c>
      <c r="Z426" t="s">
        <v>56</v>
      </c>
    </row>
    <row r="427" spans="1:26">
      <c r="A427">
        <v>39</v>
      </c>
      <c r="B427" t="s">
        <v>1140</v>
      </c>
      <c r="C427" t="s">
        <v>1141</v>
      </c>
      <c r="D427" t="s">
        <v>1142</v>
      </c>
      <c r="E427" t="s">
        <v>998</v>
      </c>
      <c r="F427" t="s">
        <v>1143</v>
      </c>
      <c r="G427" t="s">
        <v>107</v>
      </c>
      <c r="H427" t="s">
        <v>10</v>
      </c>
      <c r="I427">
        <v>0</v>
      </c>
      <c r="J427" t="s">
        <v>302</v>
      </c>
      <c r="K427" s="9">
        <v>5.09</v>
      </c>
      <c r="L427" s="9">
        <v>-3.4</v>
      </c>
      <c r="M427" s="9">
        <v>-2.59</v>
      </c>
      <c r="N427" t="s">
        <v>15</v>
      </c>
      <c r="Q427" s="9">
        <v>5.9</v>
      </c>
      <c r="R427" t="s">
        <v>52</v>
      </c>
      <c r="S427" s="7">
        <v>-5</v>
      </c>
      <c r="V427" s="10" t="s">
        <v>1149</v>
      </c>
      <c r="X427" s="10" t="s">
        <v>1180</v>
      </c>
      <c r="Y427" s="10" t="s">
        <v>1181</v>
      </c>
      <c r="Z427" t="s">
        <v>56</v>
      </c>
    </row>
    <row r="428" spans="1:26">
      <c r="A428">
        <v>40</v>
      </c>
      <c r="B428" t="s">
        <v>1140</v>
      </c>
      <c r="C428" t="s">
        <v>1141</v>
      </c>
      <c r="D428" t="s">
        <v>1142</v>
      </c>
      <c r="E428" t="s">
        <v>998</v>
      </c>
      <c r="F428" t="s">
        <v>1143</v>
      </c>
      <c r="G428" t="s">
        <v>112</v>
      </c>
      <c r="H428" t="s">
        <v>10</v>
      </c>
      <c r="I428">
        <v>0</v>
      </c>
      <c r="J428" t="s">
        <v>305</v>
      </c>
      <c r="K428" s="9">
        <v>7.31</v>
      </c>
      <c r="L428" s="9">
        <v>-2.88</v>
      </c>
      <c r="M428" s="9">
        <v>-2.19</v>
      </c>
      <c r="N428" t="s">
        <v>15</v>
      </c>
      <c r="Q428" s="9">
        <v>7</v>
      </c>
      <c r="R428" t="s">
        <v>100</v>
      </c>
      <c r="S428" s="7">
        <v>5</v>
      </c>
      <c r="V428" s="10" t="s">
        <v>1182</v>
      </c>
      <c r="X428" s="10" t="s">
        <v>1183</v>
      </c>
      <c r="Y428" s="10" t="s">
        <v>1184</v>
      </c>
      <c r="Z428" t="s">
        <v>56</v>
      </c>
    </row>
    <row r="429" spans="1:26">
      <c r="A429">
        <v>41</v>
      </c>
      <c r="B429" t="s">
        <v>1140</v>
      </c>
      <c r="C429" t="s">
        <v>1141</v>
      </c>
      <c r="D429" t="s">
        <v>1142</v>
      </c>
      <c r="E429" t="s">
        <v>998</v>
      </c>
      <c r="F429" t="s">
        <v>1143</v>
      </c>
      <c r="G429" t="s">
        <v>116</v>
      </c>
      <c r="H429" t="s">
        <v>10</v>
      </c>
      <c r="I429">
        <v>0</v>
      </c>
      <c r="J429" t="s">
        <v>308</v>
      </c>
      <c r="K429" s="9">
        <v>9.07</v>
      </c>
      <c r="L429" s="9">
        <v>-1.79</v>
      </c>
      <c r="M429" s="9">
        <v>-2.18</v>
      </c>
      <c r="N429" t="s">
        <v>15</v>
      </c>
      <c r="Q429" s="9">
        <v>8.5</v>
      </c>
      <c r="R429" t="s">
        <v>100</v>
      </c>
      <c r="S429" s="7">
        <v>18</v>
      </c>
      <c r="V429" s="10" t="s">
        <v>1185</v>
      </c>
      <c r="X429" s="10" t="s">
        <v>1186</v>
      </c>
      <c r="Y429" s="10" t="s">
        <v>1187</v>
      </c>
      <c r="Z429" t="s">
        <v>56</v>
      </c>
    </row>
    <row r="430" spans="1:26">
      <c r="A430">
        <v>42</v>
      </c>
      <c r="B430" t="s">
        <v>1140</v>
      </c>
      <c r="C430" t="s">
        <v>1141</v>
      </c>
      <c r="D430" t="s">
        <v>1142</v>
      </c>
      <c r="E430" t="s">
        <v>998</v>
      </c>
      <c r="F430" t="s">
        <v>1143</v>
      </c>
      <c r="G430" t="s">
        <v>120</v>
      </c>
      <c r="H430" t="s">
        <v>10</v>
      </c>
      <c r="I430">
        <v>0</v>
      </c>
      <c r="J430" t="s">
        <v>1188</v>
      </c>
      <c r="K430" s="9">
        <v>11.3</v>
      </c>
      <c r="L430" s="9">
        <v>0.35</v>
      </c>
      <c r="M430" s="9">
        <v>-1.38</v>
      </c>
      <c r="N430" t="s">
        <v>15</v>
      </c>
      <c r="Q430" s="9">
        <v>10.5</v>
      </c>
      <c r="R430" t="s">
        <v>100</v>
      </c>
      <c r="S430" s="7">
        <v>29</v>
      </c>
      <c r="V430" s="10" t="s">
        <v>1189</v>
      </c>
      <c r="X430" s="10" t="s">
        <v>1190</v>
      </c>
      <c r="Y430" s="10" t="s">
        <v>1191</v>
      </c>
      <c r="Z430" t="s">
        <v>56</v>
      </c>
    </row>
    <row r="431" spans="1:26">
      <c r="A431">
        <v>43</v>
      </c>
      <c r="B431" t="s">
        <v>1140</v>
      </c>
      <c r="C431" t="s">
        <v>1141</v>
      </c>
      <c r="D431" t="s">
        <v>1142</v>
      </c>
      <c r="E431" t="s">
        <v>998</v>
      </c>
      <c r="F431" t="s">
        <v>1143</v>
      </c>
      <c r="G431" t="s">
        <v>124</v>
      </c>
      <c r="H431" t="s">
        <v>10</v>
      </c>
      <c r="I431">
        <v>0</v>
      </c>
      <c r="J431" t="s">
        <v>224</v>
      </c>
      <c r="K431" s="9">
        <v>12.43</v>
      </c>
      <c r="L431" s="9">
        <v>2.89</v>
      </c>
      <c r="M431" s="9">
        <v>1.92</v>
      </c>
      <c r="N431" t="s">
        <v>15</v>
      </c>
      <c r="Q431" s="9">
        <v>11.8</v>
      </c>
      <c r="R431" t="s">
        <v>59</v>
      </c>
      <c r="S431" s="7">
        <v>39</v>
      </c>
      <c r="V431" s="10" t="s">
        <v>1192</v>
      </c>
      <c r="X431" s="10" t="s">
        <v>1193</v>
      </c>
      <c r="Y431" s="10" t="s">
        <v>1194</v>
      </c>
      <c r="Z431" t="s">
        <v>56</v>
      </c>
    </row>
    <row r="432" spans="1:26">
      <c r="A432">
        <v>44</v>
      </c>
      <c r="B432" t="s">
        <v>1140</v>
      </c>
      <c r="C432" t="s">
        <v>1141</v>
      </c>
      <c r="D432" t="s">
        <v>1142</v>
      </c>
      <c r="E432" t="s">
        <v>998</v>
      </c>
      <c r="F432" t="s">
        <v>1143</v>
      </c>
      <c r="G432" t="s">
        <v>128</v>
      </c>
      <c r="H432" t="s">
        <v>10</v>
      </c>
      <c r="I432">
        <v>0</v>
      </c>
      <c r="J432" t="s">
        <v>1195</v>
      </c>
      <c r="K432" s="9">
        <v>16.42</v>
      </c>
      <c r="L432" s="9">
        <v>5.47</v>
      </c>
      <c r="M432" s="9">
        <v>4.12</v>
      </c>
      <c r="N432" t="s">
        <v>15</v>
      </c>
      <c r="Q432" s="9">
        <v>15.5</v>
      </c>
      <c r="R432" t="s">
        <v>59</v>
      </c>
      <c r="S432" s="7">
        <v>47</v>
      </c>
      <c r="V432" s="10" t="s">
        <v>1196</v>
      </c>
      <c r="X432" s="10" t="s">
        <v>1197</v>
      </c>
      <c r="Y432" s="10" t="s">
        <v>1198</v>
      </c>
      <c r="Z432" t="s">
        <v>56</v>
      </c>
    </row>
    <row r="433" spans="1:26">
      <c r="A433">
        <v>45</v>
      </c>
      <c r="B433" t="s">
        <v>1140</v>
      </c>
      <c r="C433" t="s">
        <v>1141</v>
      </c>
      <c r="D433" t="s">
        <v>1142</v>
      </c>
      <c r="E433" t="s">
        <v>998</v>
      </c>
      <c r="F433" t="s">
        <v>1143</v>
      </c>
      <c r="G433" t="s">
        <v>133</v>
      </c>
      <c r="H433" t="s">
        <v>10</v>
      </c>
      <c r="I433">
        <v>0</v>
      </c>
      <c r="J433" t="s">
        <v>1199</v>
      </c>
      <c r="K433" s="9">
        <v>17.57</v>
      </c>
      <c r="L433" s="9">
        <v>7.03</v>
      </c>
      <c r="M433" s="9">
        <v>5.75</v>
      </c>
      <c r="N433" t="s">
        <v>15</v>
      </c>
      <c r="Q433" s="9">
        <v>16.8</v>
      </c>
      <c r="R433" t="s">
        <v>59</v>
      </c>
      <c r="S433" s="7">
        <v>50.5</v>
      </c>
      <c r="V433" s="10" t="s">
        <v>1200</v>
      </c>
      <c r="X433" s="10" t="s">
        <v>1201</v>
      </c>
      <c r="Y433" s="10" t="s">
        <v>1202</v>
      </c>
      <c r="Z433" t="s">
        <v>56</v>
      </c>
    </row>
    <row r="434" spans="1:26">
      <c r="A434">
        <v>46</v>
      </c>
      <c r="B434" t="s">
        <v>1140</v>
      </c>
      <c r="C434" t="s">
        <v>1141</v>
      </c>
      <c r="D434" t="s">
        <v>1142</v>
      </c>
      <c r="E434" t="s">
        <v>998</v>
      </c>
      <c r="F434" t="s">
        <v>1143</v>
      </c>
      <c r="G434" t="s">
        <v>137</v>
      </c>
      <c r="H434" t="s">
        <v>10</v>
      </c>
      <c r="I434">
        <v>0</v>
      </c>
      <c r="J434" t="s">
        <v>1203</v>
      </c>
      <c r="K434" s="9">
        <v>19.77</v>
      </c>
      <c r="L434" s="9">
        <v>8.08</v>
      </c>
      <c r="M434" s="9">
        <v>6.18</v>
      </c>
      <c r="N434" t="s">
        <v>15</v>
      </c>
      <c r="Q434" s="9">
        <v>18.8</v>
      </c>
      <c r="R434" t="s">
        <v>59</v>
      </c>
      <c r="S434" s="7">
        <v>52</v>
      </c>
      <c r="V434" s="10" t="s">
        <v>1204</v>
      </c>
      <c r="X434" s="10" t="s">
        <v>1205</v>
      </c>
      <c r="Y434" s="10" t="s">
        <v>1206</v>
      </c>
      <c r="Z434" t="s">
        <v>56</v>
      </c>
    </row>
    <row r="435" spans="1:26">
      <c r="A435">
        <v>47</v>
      </c>
      <c r="B435" t="s">
        <v>1140</v>
      </c>
      <c r="C435" t="s">
        <v>1141</v>
      </c>
      <c r="D435" t="s">
        <v>1142</v>
      </c>
      <c r="E435" t="s">
        <v>998</v>
      </c>
      <c r="F435" t="s">
        <v>1143</v>
      </c>
      <c r="G435" t="s">
        <v>141</v>
      </c>
      <c r="H435" t="s">
        <v>10</v>
      </c>
      <c r="I435">
        <v>0</v>
      </c>
      <c r="J435" t="s">
        <v>239</v>
      </c>
      <c r="K435" s="9">
        <v>20.53</v>
      </c>
      <c r="L435" s="9">
        <v>8.5</v>
      </c>
      <c r="M435" s="9">
        <v>6.8</v>
      </c>
      <c r="N435" t="s">
        <v>15</v>
      </c>
      <c r="Q435" s="9">
        <v>19.8</v>
      </c>
      <c r="R435" t="s">
        <v>59</v>
      </c>
      <c r="S435" s="7">
        <v>53</v>
      </c>
      <c r="V435" s="10" t="s">
        <v>1207</v>
      </c>
      <c r="X435" s="10" t="s">
        <v>1208</v>
      </c>
      <c r="Y435" s="10" t="s">
        <v>1209</v>
      </c>
      <c r="Z435" t="s">
        <v>56</v>
      </c>
    </row>
    <row r="436" spans="1:26">
      <c r="A436">
        <v>48</v>
      </c>
      <c r="B436" t="s">
        <v>1140</v>
      </c>
      <c r="C436" t="s">
        <v>1141</v>
      </c>
      <c r="D436" t="s">
        <v>1142</v>
      </c>
      <c r="E436" t="s">
        <v>998</v>
      </c>
      <c r="F436" t="s">
        <v>1143</v>
      </c>
      <c r="G436" t="s">
        <v>146</v>
      </c>
      <c r="H436" t="s">
        <v>10</v>
      </c>
      <c r="I436">
        <v>0</v>
      </c>
      <c r="J436" t="s">
        <v>619</v>
      </c>
      <c r="K436" s="9">
        <v>22.1</v>
      </c>
      <c r="L436" s="9">
        <v>9.300000000000001</v>
      </c>
      <c r="M436" s="9">
        <v>7.4</v>
      </c>
      <c r="N436" t="s">
        <v>15</v>
      </c>
      <c r="Q436" s="9">
        <v>21</v>
      </c>
      <c r="R436" t="s">
        <v>59</v>
      </c>
      <c r="S436" s="7">
        <v>53.5</v>
      </c>
      <c r="V436" s="10" t="s">
        <v>1210</v>
      </c>
      <c r="X436" s="10" t="s">
        <v>1211</v>
      </c>
      <c r="Y436" s="10" t="s">
        <v>1212</v>
      </c>
      <c r="Z436" t="s">
        <v>56</v>
      </c>
    </row>
    <row r="437" spans="1:26">
      <c r="A437">
        <v>49</v>
      </c>
      <c r="B437" t="s">
        <v>1140</v>
      </c>
      <c r="C437" t="s">
        <v>1141</v>
      </c>
      <c r="D437" t="s">
        <v>1142</v>
      </c>
      <c r="E437" t="s">
        <v>998</v>
      </c>
      <c r="F437" t="s">
        <v>1143</v>
      </c>
      <c r="G437" t="s">
        <v>150</v>
      </c>
      <c r="H437" t="s">
        <v>10</v>
      </c>
      <c r="I437">
        <v>0</v>
      </c>
      <c r="J437" t="s">
        <v>891</v>
      </c>
      <c r="K437" s="9">
        <v>25.5</v>
      </c>
      <c r="L437" s="9">
        <v>11</v>
      </c>
      <c r="M437" s="9">
        <v>8.800000000000001</v>
      </c>
      <c r="N437" t="s">
        <v>15</v>
      </c>
      <c r="Q437" s="9">
        <v>24.5</v>
      </c>
      <c r="R437" t="s">
        <v>59</v>
      </c>
      <c r="S437" s="7">
        <v>55</v>
      </c>
      <c r="V437" s="10" t="s">
        <v>1213</v>
      </c>
      <c r="X437" s="10" t="s">
        <v>1214</v>
      </c>
      <c r="Y437" s="10" t="s">
        <v>1215</v>
      </c>
      <c r="Z437" t="s">
        <v>56</v>
      </c>
    </row>
    <row r="438" spans="1:26">
      <c r="A438">
        <v>50</v>
      </c>
      <c r="B438" t="s">
        <v>1140</v>
      </c>
      <c r="C438" t="s">
        <v>1141</v>
      </c>
      <c r="D438" t="s">
        <v>1142</v>
      </c>
      <c r="E438" t="s">
        <v>998</v>
      </c>
      <c r="F438" t="s">
        <v>1143</v>
      </c>
      <c r="G438" t="s">
        <v>155</v>
      </c>
      <c r="H438" t="s">
        <v>10</v>
      </c>
      <c r="I438">
        <v>0</v>
      </c>
      <c r="J438" t="s">
        <v>625</v>
      </c>
      <c r="K438" s="9">
        <v>27.8</v>
      </c>
      <c r="L438" s="9">
        <v>12.2</v>
      </c>
      <c r="M438" s="9">
        <v>9.800000000000001</v>
      </c>
      <c r="N438" t="s">
        <v>15</v>
      </c>
      <c r="Q438" s="9">
        <v>26.8</v>
      </c>
      <c r="R438" t="s">
        <v>59</v>
      </c>
      <c r="S438" s="7">
        <v>55.5</v>
      </c>
      <c r="V438" s="10" t="s">
        <v>1216</v>
      </c>
      <c r="X438" s="10" t="s">
        <v>1217</v>
      </c>
      <c r="Y438" s="10" t="s">
        <v>1218</v>
      </c>
      <c r="Z438" t="s">
        <v>56</v>
      </c>
    </row>
    <row r="439" spans="1:26">
      <c r="A439">
        <v>628</v>
      </c>
      <c r="B439" t="s">
        <v>1223</v>
      </c>
      <c r="C439" t="s">
        <v>1224</v>
      </c>
      <c r="D439" t="s">
        <v>1225</v>
      </c>
      <c r="E439" t="s">
        <v>998</v>
      </c>
      <c r="F439" t="s">
        <v>1223</v>
      </c>
      <c r="G439" t="s">
        <v>50</v>
      </c>
      <c r="H439" t="s">
        <v>10</v>
      </c>
      <c r="I439">
        <v>0</v>
      </c>
      <c r="J439" t="s">
        <v>1226</v>
      </c>
      <c r="K439" s="9">
        <v>3.922</v>
      </c>
      <c r="L439" s="9">
        <v>0.07000000000000001</v>
      </c>
      <c r="M439" s="9">
        <v>-0.06</v>
      </c>
      <c r="N439" t="s">
        <v>14</v>
      </c>
      <c r="O439" s="9">
        <v>-0.2</v>
      </c>
      <c r="S439" s="7">
        <v>23.05</v>
      </c>
      <c r="T439" s="7">
        <v>1.78</v>
      </c>
      <c r="X439" s="10" t="s">
        <v>428</v>
      </c>
      <c r="Y439" s="11" t="s">
        <v>1227</v>
      </c>
      <c r="Z439" t="s">
        <v>430</v>
      </c>
    </row>
    <row r="440" spans="1:26">
      <c r="A440">
        <v>629</v>
      </c>
      <c r="B440" t="s">
        <v>1223</v>
      </c>
      <c r="C440" t="s">
        <v>1224</v>
      </c>
      <c r="D440" t="s">
        <v>1225</v>
      </c>
      <c r="E440" t="s">
        <v>998</v>
      </c>
      <c r="F440" t="s">
        <v>1223</v>
      </c>
      <c r="G440" t="s">
        <v>57</v>
      </c>
      <c r="H440" t="s">
        <v>10</v>
      </c>
      <c r="I440">
        <v>0</v>
      </c>
      <c r="J440" t="s">
        <v>1228</v>
      </c>
      <c r="K440" s="9">
        <v>4.234</v>
      </c>
      <c r="L440" s="9">
        <v>0.05</v>
      </c>
      <c r="M440" s="9">
        <v>-0.06</v>
      </c>
      <c r="N440" t="s">
        <v>14</v>
      </c>
      <c r="O440" s="9">
        <v>-0.47</v>
      </c>
      <c r="S440" s="7">
        <v>22.08</v>
      </c>
      <c r="T440" s="7">
        <v>1.18</v>
      </c>
      <c r="X440" s="10" t="s">
        <v>428</v>
      </c>
      <c r="Y440" s="11" t="s">
        <v>1229</v>
      </c>
      <c r="Z440" t="s">
        <v>430</v>
      </c>
    </row>
    <row r="441" spans="1:26">
      <c r="A441">
        <v>630</v>
      </c>
      <c r="B441" t="s">
        <v>1223</v>
      </c>
      <c r="C441" t="s">
        <v>1224</v>
      </c>
      <c r="D441" t="s">
        <v>1225</v>
      </c>
      <c r="E441" t="s">
        <v>998</v>
      </c>
      <c r="F441" t="s">
        <v>1223</v>
      </c>
      <c r="G441" t="s">
        <v>62</v>
      </c>
      <c r="H441" t="s">
        <v>10</v>
      </c>
      <c r="I441">
        <v>0</v>
      </c>
      <c r="J441" t="s">
        <v>1230</v>
      </c>
      <c r="K441" s="9">
        <v>4.175</v>
      </c>
      <c r="L441" s="9">
        <v>0.153</v>
      </c>
      <c r="M441" s="9">
        <v>-0.06</v>
      </c>
      <c r="N441" t="s">
        <v>14</v>
      </c>
      <c r="O441" s="9">
        <v>0.06</v>
      </c>
      <c r="S441" s="7">
        <v>24.07</v>
      </c>
      <c r="T441" s="7">
        <v>3.66</v>
      </c>
      <c r="X441" s="10" t="s">
        <v>428</v>
      </c>
      <c r="Y441" s="11" t="s">
        <v>1231</v>
      </c>
      <c r="Z441" t="s">
        <v>430</v>
      </c>
    </row>
    <row r="442" spans="1:26">
      <c r="A442">
        <v>631</v>
      </c>
      <c r="B442" t="s">
        <v>1223</v>
      </c>
      <c r="C442" t="s">
        <v>1224</v>
      </c>
      <c r="D442" t="s">
        <v>1225</v>
      </c>
      <c r="E442" t="s">
        <v>998</v>
      </c>
      <c r="F442" t="s">
        <v>1223</v>
      </c>
      <c r="G442" t="s">
        <v>66</v>
      </c>
      <c r="H442" t="s">
        <v>10</v>
      </c>
      <c r="I442">
        <v>0</v>
      </c>
      <c r="J442" t="s">
        <v>781</v>
      </c>
      <c r="K442" s="9">
        <v>4.287</v>
      </c>
      <c r="L442" s="9">
        <v>0.261</v>
      </c>
      <c r="M442" s="9">
        <v>0.148</v>
      </c>
      <c r="N442" t="s">
        <v>14</v>
      </c>
      <c r="S442" s="7">
        <v>25.26</v>
      </c>
      <c r="T442" s="7">
        <v>6.09</v>
      </c>
      <c r="X442" s="10" t="s">
        <v>483</v>
      </c>
      <c r="Y442" s="11" t="s">
        <v>1232</v>
      </c>
      <c r="Z442" t="s">
        <v>430</v>
      </c>
    </row>
    <row r="443" spans="1:26">
      <c r="A443">
        <v>632</v>
      </c>
      <c r="B443" t="s">
        <v>1223</v>
      </c>
      <c r="C443" t="s">
        <v>1224</v>
      </c>
      <c r="D443" t="s">
        <v>1225</v>
      </c>
      <c r="E443" t="s">
        <v>998</v>
      </c>
      <c r="F443" t="s">
        <v>1223</v>
      </c>
      <c r="G443" t="s">
        <v>71</v>
      </c>
      <c r="H443" t="s">
        <v>10</v>
      </c>
      <c r="I443">
        <v>0</v>
      </c>
      <c r="J443" t="s">
        <v>489</v>
      </c>
      <c r="K443" s="9">
        <v>5.051</v>
      </c>
      <c r="L443" s="9">
        <v>0.778</v>
      </c>
      <c r="M443" s="9">
        <v>0.61</v>
      </c>
      <c r="N443" t="s">
        <v>14</v>
      </c>
      <c r="O443" s="9">
        <v>1.93</v>
      </c>
      <c r="S443" s="7">
        <v>32.96</v>
      </c>
      <c r="T443" s="7">
        <v>15.4</v>
      </c>
      <c r="X443" s="10" t="s">
        <v>428</v>
      </c>
      <c r="Y443" s="11" t="s">
        <v>1233</v>
      </c>
      <c r="Z443" t="s">
        <v>430</v>
      </c>
    </row>
    <row r="444" spans="1:26">
      <c r="A444">
        <v>633</v>
      </c>
      <c r="B444" t="s">
        <v>1223</v>
      </c>
      <c r="C444" t="s">
        <v>1224</v>
      </c>
      <c r="D444" t="s">
        <v>1225</v>
      </c>
      <c r="E444" t="s">
        <v>998</v>
      </c>
      <c r="F444" t="s">
        <v>1223</v>
      </c>
      <c r="G444" t="s">
        <v>75</v>
      </c>
      <c r="H444" t="s">
        <v>10</v>
      </c>
      <c r="I444">
        <v>0</v>
      </c>
      <c r="J444" t="s">
        <v>1234</v>
      </c>
      <c r="K444" s="9">
        <v>4.833</v>
      </c>
      <c r="L444" s="9">
        <v>0.727</v>
      </c>
      <c r="M444" s="9">
        <v>0.5639999999999999</v>
      </c>
      <c r="N444" t="s">
        <v>14</v>
      </c>
      <c r="O444" s="9">
        <v>1.79</v>
      </c>
      <c r="S444" s="7">
        <v>32.75</v>
      </c>
      <c r="T444" s="7">
        <v>15.04</v>
      </c>
      <c r="X444" s="10" t="s">
        <v>428</v>
      </c>
      <c r="Y444" s="11" t="s">
        <v>1235</v>
      </c>
      <c r="Z444" t="s">
        <v>430</v>
      </c>
    </row>
    <row r="445" spans="1:26">
      <c r="A445">
        <v>634</v>
      </c>
      <c r="B445" t="s">
        <v>1223</v>
      </c>
      <c r="C445" t="s">
        <v>1224</v>
      </c>
      <c r="D445" t="s">
        <v>1225</v>
      </c>
      <c r="E445" t="s">
        <v>998</v>
      </c>
      <c r="F445" t="s">
        <v>1223</v>
      </c>
      <c r="G445" t="s">
        <v>80</v>
      </c>
      <c r="H445" t="s">
        <v>10</v>
      </c>
      <c r="I445">
        <v>0</v>
      </c>
      <c r="J445" t="s">
        <v>485</v>
      </c>
      <c r="K445" s="9">
        <v>4.137</v>
      </c>
      <c r="L445" s="9">
        <v>0.317</v>
      </c>
      <c r="M445" s="9">
        <v>0.5639999999999999</v>
      </c>
      <c r="N445" t="s">
        <v>14</v>
      </c>
      <c r="O445" s="9">
        <v>0.63</v>
      </c>
      <c r="S445" s="7">
        <v>26.37</v>
      </c>
      <c r="T445" s="7">
        <v>7.66</v>
      </c>
      <c r="X445" s="10" t="s">
        <v>428</v>
      </c>
      <c r="Y445" s="11" t="s">
        <v>1236</v>
      </c>
      <c r="Z445" t="s">
        <v>430</v>
      </c>
    </row>
    <row r="446" spans="1:26">
      <c r="A446">
        <v>635</v>
      </c>
      <c r="B446" t="s">
        <v>1223</v>
      </c>
      <c r="C446" t="s">
        <v>1224</v>
      </c>
      <c r="D446" t="s">
        <v>1225</v>
      </c>
      <c r="E446" t="s">
        <v>998</v>
      </c>
      <c r="F446" t="s">
        <v>1223</v>
      </c>
      <c r="G446" t="s">
        <v>85</v>
      </c>
      <c r="H446" t="s">
        <v>10</v>
      </c>
      <c r="I446">
        <v>0</v>
      </c>
      <c r="J446" t="s">
        <v>1237</v>
      </c>
      <c r="K446" s="9">
        <v>4.92</v>
      </c>
      <c r="L446" s="9">
        <v>0.675</v>
      </c>
      <c r="M446" s="9">
        <v>0.622</v>
      </c>
      <c r="N446" t="s">
        <v>14</v>
      </c>
      <c r="S446" s="7">
        <v>31.83</v>
      </c>
      <c r="T446" s="7">
        <v>13.72</v>
      </c>
      <c r="X446" s="10" t="s">
        <v>483</v>
      </c>
      <c r="Y446" s="11" t="s">
        <v>1238</v>
      </c>
      <c r="Z446" t="s">
        <v>430</v>
      </c>
    </row>
    <row r="447" spans="1:26">
      <c r="A447">
        <v>636</v>
      </c>
      <c r="B447" t="s">
        <v>1223</v>
      </c>
      <c r="C447" t="s">
        <v>1224</v>
      </c>
      <c r="D447" t="s">
        <v>1225</v>
      </c>
      <c r="E447" t="s">
        <v>998</v>
      </c>
      <c r="F447" t="s">
        <v>1223</v>
      </c>
      <c r="G447" t="s">
        <v>89</v>
      </c>
      <c r="H447" t="s">
        <v>10</v>
      </c>
      <c r="I447">
        <v>0</v>
      </c>
      <c r="J447" t="s">
        <v>1239</v>
      </c>
      <c r="K447" s="9">
        <v>3.736</v>
      </c>
      <c r="L447" s="9">
        <v>0.158</v>
      </c>
      <c r="M447" s="9">
        <v>0.027</v>
      </c>
      <c r="N447" t="s">
        <v>14</v>
      </c>
      <c r="O447" s="9">
        <v>0.08</v>
      </c>
      <c r="S447" s="7">
        <v>26.26</v>
      </c>
      <c r="T447" s="7">
        <v>4.23</v>
      </c>
      <c r="X447" s="10" t="s">
        <v>428</v>
      </c>
      <c r="Y447" s="11" t="s">
        <v>1240</v>
      </c>
      <c r="Z447" t="s">
        <v>430</v>
      </c>
    </row>
    <row r="448" spans="1:26">
      <c r="A448">
        <v>637</v>
      </c>
      <c r="B448" t="s">
        <v>1223</v>
      </c>
      <c r="C448" t="s">
        <v>1224</v>
      </c>
      <c r="D448" t="s">
        <v>1225</v>
      </c>
      <c r="E448" t="s">
        <v>998</v>
      </c>
      <c r="F448" t="s">
        <v>1223</v>
      </c>
      <c r="G448" t="s">
        <v>93</v>
      </c>
      <c r="H448" t="s">
        <v>10</v>
      </c>
      <c r="I448">
        <v>0</v>
      </c>
      <c r="J448" t="s">
        <v>1241</v>
      </c>
      <c r="K448" s="9">
        <v>3.107</v>
      </c>
      <c r="L448" s="9">
        <v>-0.321</v>
      </c>
      <c r="M448" s="9">
        <v>-0.451</v>
      </c>
      <c r="N448" t="s">
        <v>14</v>
      </c>
      <c r="O448" s="9">
        <v>-1.42</v>
      </c>
      <c r="S448" s="7">
        <v>16.99</v>
      </c>
      <c r="T448" s="7">
        <v>-10.33</v>
      </c>
      <c r="X448" s="10" t="s">
        <v>428</v>
      </c>
      <c r="Y448" s="11" t="s">
        <v>1242</v>
      </c>
      <c r="Z448" t="s">
        <v>430</v>
      </c>
    </row>
    <row r="449" spans="1:26">
      <c r="A449">
        <v>638</v>
      </c>
      <c r="B449" t="s">
        <v>1223</v>
      </c>
      <c r="C449" t="s">
        <v>1224</v>
      </c>
      <c r="D449" t="s">
        <v>1225</v>
      </c>
      <c r="E449" t="s">
        <v>998</v>
      </c>
      <c r="F449" t="s">
        <v>1223</v>
      </c>
      <c r="G449" t="s">
        <v>98</v>
      </c>
      <c r="H449" t="s">
        <v>10</v>
      </c>
      <c r="I449">
        <v>0</v>
      </c>
      <c r="J449" t="s">
        <v>1243</v>
      </c>
      <c r="K449" s="9">
        <v>4.381</v>
      </c>
      <c r="L449" s="9">
        <v>0.324</v>
      </c>
      <c r="M449" s="9">
        <v>-0.451</v>
      </c>
      <c r="N449" t="s">
        <v>14</v>
      </c>
      <c r="O449" s="9">
        <v>0.08</v>
      </c>
      <c r="S449" s="7">
        <v>26.96</v>
      </c>
      <c r="T449" s="7">
        <v>7.4</v>
      </c>
      <c r="X449" s="10" t="s">
        <v>428</v>
      </c>
      <c r="Y449" s="11" t="s">
        <v>1244</v>
      </c>
      <c r="Z449" t="s">
        <v>430</v>
      </c>
    </row>
    <row r="450" spans="1:26">
      <c r="A450">
        <v>639</v>
      </c>
      <c r="B450" t="s">
        <v>1223</v>
      </c>
      <c r="C450" t="s">
        <v>1224</v>
      </c>
      <c r="D450" t="s">
        <v>1225</v>
      </c>
      <c r="E450" t="s">
        <v>998</v>
      </c>
      <c r="F450" t="s">
        <v>1223</v>
      </c>
      <c r="G450" t="s">
        <v>103</v>
      </c>
      <c r="H450" t="s">
        <v>10</v>
      </c>
      <c r="I450">
        <v>0</v>
      </c>
      <c r="J450" t="s">
        <v>1245</v>
      </c>
      <c r="K450" s="9">
        <v>4.528</v>
      </c>
      <c r="L450" s="9">
        <v>0.5620000000000001</v>
      </c>
      <c r="M450" s="9">
        <v>0.347</v>
      </c>
      <c r="N450" t="s">
        <v>14</v>
      </c>
      <c r="S450" s="7">
        <v>31.91</v>
      </c>
      <c r="T450" s="7">
        <v>12.41</v>
      </c>
      <c r="X450" s="10" t="s">
        <v>483</v>
      </c>
      <c r="Y450" s="11" t="s">
        <v>1246</v>
      </c>
      <c r="Z450" t="s">
        <v>430</v>
      </c>
    </row>
    <row r="451" spans="1:26">
      <c r="A451">
        <v>640</v>
      </c>
      <c r="B451" t="s">
        <v>1223</v>
      </c>
      <c r="C451" t="s">
        <v>1224</v>
      </c>
      <c r="D451" t="s">
        <v>1225</v>
      </c>
      <c r="E451" t="s">
        <v>998</v>
      </c>
      <c r="F451" t="s">
        <v>1223</v>
      </c>
      <c r="G451" t="s">
        <v>107</v>
      </c>
      <c r="H451" t="s">
        <v>10</v>
      </c>
      <c r="I451">
        <v>0</v>
      </c>
      <c r="J451" t="s">
        <v>134</v>
      </c>
      <c r="K451" s="9">
        <v>2.75</v>
      </c>
      <c r="L451" s="9">
        <v>-0.596</v>
      </c>
      <c r="M451" s="9">
        <v>-0.6850000000000001</v>
      </c>
      <c r="N451" t="s">
        <v>14</v>
      </c>
      <c r="O451" s="9">
        <v>-2.17</v>
      </c>
      <c r="S451" s="7">
        <v>3.6</v>
      </c>
      <c r="T451" s="7">
        <v>-21.67</v>
      </c>
      <c r="X451" s="10" t="s">
        <v>428</v>
      </c>
      <c r="Y451" s="11" t="s">
        <v>1247</v>
      </c>
      <c r="Z451" t="s">
        <v>430</v>
      </c>
    </row>
    <row r="452" spans="1:26">
      <c r="A452">
        <v>641</v>
      </c>
      <c r="B452" t="s">
        <v>1223</v>
      </c>
      <c r="C452" t="s">
        <v>1224</v>
      </c>
      <c r="D452" t="s">
        <v>1225</v>
      </c>
      <c r="E452" t="s">
        <v>998</v>
      </c>
      <c r="F452" t="s">
        <v>1223</v>
      </c>
      <c r="G452" t="s">
        <v>112</v>
      </c>
      <c r="H452" t="s">
        <v>10</v>
      </c>
      <c r="I452">
        <v>0</v>
      </c>
      <c r="J452" t="s">
        <v>607</v>
      </c>
      <c r="K452" s="9">
        <v>3.032</v>
      </c>
      <c r="L452" s="9">
        <v>-0.21</v>
      </c>
      <c r="M452" s="9">
        <v>-0.287</v>
      </c>
      <c r="N452" t="s">
        <v>14</v>
      </c>
      <c r="O452" s="9">
        <v>-0.93</v>
      </c>
      <c r="S452" s="7">
        <v>16.23</v>
      </c>
      <c r="T452" s="7">
        <v>-6.93</v>
      </c>
      <c r="X452" s="10" t="s">
        <v>428</v>
      </c>
      <c r="Y452" s="11" t="s">
        <v>1248</v>
      </c>
      <c r="Z452" t="s">
        <v>430</v>
      </c>
    </row>
    <row r="453" spans="1:26">
      <c r="A453">
        <v>642</v>
      </c>
      <c r="B453" t="s">
        <v>1223</v>
      </c>
      <c r="C453" t="s">
        <v>1224</v>
      </c>
      <c r="D453" t="s">
        <v>1225</v>
      </c>
      <c r="E453" t="s">
        <v>998</v>
      </c>
      <c r="F453" t="s">
        <v>1223</v>
      </c>
      <c r="G453" t="s">
        <v>116</v>
      </c>
      <c r="H453" t="s">
        <v>10</v>
      </c>
      <c r="I453">
        <v>0</v>
      </c>
      <c r="J453" t="s">
        <v>125</v>
      </c>
      <c r="K453" s="9">
        <v>2.803</v>
      </c>
      <c r="L453" s="9">
        <v>-0.472</v>
      </c>
      <c r="M453" s="9">
        <v>-0.287</v>
      </c>
      <c r="N453" t="s">
        <v>14</v>
      </c>
      <c r="O453" s="9">
        <v>-1.82</v>
      </c>
      <c r="S453" s="7">
        <v>10.2</v>
      </c>
      <c r="T453" s="7">
        <v>-16.84</v>
      </c>
      <c r="X453" s="10" t="s">
        <v>428</v>
      </c>
      <c r="Y453" s="11" t="s">
        <v>1249</v>
      </c>
      <c r="Z453" t="s">
        <v>430</v>
      </c>
    </row>
    <row r="454" spans="1:26">
      <c r="A454">
        <v>643</v>
      </c>
      <c r="B454" t="s">
        <v>1223</v>
      </c>
      <c r="C454" t="s">
        <v>1224</v>
      </c>
      <c r="D454" t="s">
        <v>1225</v>
      </c>
      <c r="E454" t="s">
        <v>998</v>
      </c>
      <c r="F454" t="s">
        <v>1223</v>
      </c>
      <c r="G454" t="s">
        <v>124</v>
      </c>
      <c r="H454" t="s">
        <v>10</v>
      </c>
      <c r="I454">
        <v>0</v>
      </c>
      <c r="J454" t="s">
        <v>846</v>
      </c>
      <c r="K454" s="9">
        <v>2.212</v>
      </c>
      <c r="L454" s="9">
        <v>0.334</v>
      </c>
      <c r="M454" s="9">
        <v>0.493</v>
      </c>
      <c r="N454" t="s">
        <v>14</v>
      </c>
      <c r="O454" s="9">
        <v>1.35</v>
      </c>
      <c r="S454" s="7">
        <v>36.44</v>
      </c>
      <c r="T454" s="7">
        <v>15.1</v>
      </c>
      <c r="X454" s="10" t="s">
        <v>428</v>
      </c>
      <c r="Y454" s="11" t="s">
        <v>1250</v>
      </c>
      <c r="Z454" t="s">
        <v>430</v>
      </c>
    </row>
    <row r="455" spans="1:26">
      <c r="A455">
        <v>644</v>
      </c>
      <c r="B455" t="s">
        <v>1223</v>
      </c>
      <c r="C455" t="s">
        <v>1224</v>
      </c>
      <c r="D455" t="s">
        <v>1225</v>
      </c>
      <c r="E455" t="s">
        <v>998</v>
      </c>
      <c r="F455" t="s">
        <v>1223</v>
      </c>
      <c r="G455" t="s">
        <v>128</v>
      </c>
      <c r="H455" t="s">
        <v>10</v>
      </c>
      <c r="I455">
        <v>0</v>
      </c>
      <c r="J455" t="s">
        <v>848</v>
      </c>
      <c r="K455" s="9">
        <v>2.409</v>
      </c>
      <c r="L455" s="9">
        <v>0.5600000000000001</v>
      </c>
      <c r="M455" s="9">
        <v>0.594</v>
      </c>
      <c r="N455" t="s">
        <v>14</v>
      </c>
      <c r="O455" s="9">
        <v>1.63</v>
      </c>
      <c r="S455" s="7">
        <v>37.65</v>
      </c>
      <c r="T455" s="7">
        <v>23.25</v>
      </c>
      <c r="X455" s="10" t="s">
        <v>428</v>
      </c>
      <c r="Y455" s="11" t="s">
        <v>1251</v>
      </c>
      <c r="Z455" t="s">
        <v>430</v>
      </c>
    </row>
    <row r="456" spans="1:26">
      <c r="A456">
        <v>645</v>
      </c>
      <c r="B456" t="s">
        <v>1223</v>
      </c>
      <c r="C456" t="s">
        <v>1224</v>
      </c>
      <c r="D456" t="s">
        <v>1225</v>
      </c>
      <c r="E456" t="s">
        <v>998</v>
      </c>
      <c r="F456" t="s">
        <v>1223</v>
      </c>
      <c r="G456" t="s">
        <v>133</v>
      </c>
      <c r="H456" t="s">
        <v>10</v>
      </c>
      <c r="I456">
        <v>0</v>
      </c>
      <c r="J456" t="s">
        <v>1252</v>
      </c>
      <c r="K456" s="9">
        <v>1.752</v>
      </c>
      <c r="L456" s="9">
        <v>0.094</v>
      </c>
      <c r="M456" s="9">
        <v>0.594</v>
      </c>
      <c r="N456" t="s">
        <v>14</v>
      </c>
      <c r="O456" s="9">
        <v>0.34</v>
      </c>
      <c r="S456" s="7">
        <v>29.62</v>
      </c>
      <c r="T456" s="7">
        <v>5.37</v>
      </c>
      <c r="X456" s="10" t="s">
        <v>428</v>
      </c>
      <c r="Y456" s="11" t="s">
        <v>1253</v>
      </c>
      <c r="Z456" t="s">
        <v>430</v>
      </c>
    </row>
    <row r="457" spans="1:26">
      <c r="A457">
        <v>646</v>
      </c>
      <c r="B457" t="s">
        <v>1223</v>
      </c>
      <c r="C457" t="s">
        <v>1224</v>
      </c>
      <c r="D457" t="s">
        <v>1225</v>
      </c>
      <c r="E457" t="s">
        <v>998</v>
      </c>
      <c r="F457" t="s">
        <v>1223</v>
      </c>
      <c r="G457" t="s">
        <v>141</v>
      </c>
      <c r="H457" t="s">
        <v>10</v>
      </c>
      <c r="I457">
        <v>0</v>
      </c>
      <c r="J457" t="s">
        <v>846</v>
      </c>
      <c r="K457" s="9">
        <v>2.818</v>
      </c>
      <c r="L457" s="9">
        <v>0.792</v>
      </c>
      <c r="M457" s="9">
        <v>1.182</v>
      </c>
      <c r="N457" t="s">
        <v>14</v>
      </c>
      <c r="O457" s="9">
        <v>3.07</v>
      </c>
      <c r="S457" s="7">
        <v>43.54</v>
      </c>
      <c r="T457" s="7">
        <v>28.11</v>
      </c>
      <c r="X457" s="10" t="s">
        <v>428</v>
      </c>
      <c r="Y457" s="11" t="s">
        <v>1250</v>
      </c>
      <c r="Z457" t="s">
        <v>430</v>
      </c>
    </row>
    <row r="458" spans="1:26">
      <c r="A458">
        <v>647</v>
      </c>
      <c r="B458" t="s">
        <v>1223</v>
      </c>
      <c r="C458" t="s">
        <v>1224</v>
      </c>
      <c r="D458" t="s">
        <v>1225</v>
      </c>
      <c r="E458" t="s">
        <v>998</v>
      </c>
      <c r="F458" t="s">
        <v>1223</v>
      </c>
      <c r="G458" t="s">
        <v>472</v>
      </c>
      <c r="H458" t="s">
        <v>10</v>
      </c>
      <c r="I458">
        <v>0</v>
      </c>
      <c r="J458" t="s">
        <v>1254</v>
      </c>
      <c r="K458" s="9">
        <v>2.294</v>
      </c>
      <c r="L458" s="9">
        <v>0.76</v>
      </c>
      <c r="M458" s="9">
        <v>1.182</v>
      </c>
      <c r="N458" t="s">
        <v>14</v>
      </c>
      <c r="O458" s="9">
        <v>1.42</v>
      </c>
      <c r="S458" s="7">
        <v>39.76</v>
      </c>
      <c r="T458" s="7">
        <v>33.13</v>
      </c>
      <c r="X458" s="10" t="s">
        <v>428</v>
      </c>
      <c r="Y458" s="11" t="s">
        <v>1255</v>
      </c>
      <c r="Z458" t="s">
        <v>430</v>
      </c>
    </row>
    <row r="459" spans="1:26">
      <c r="A459">
        <v>648</v>
      </c>
      <c r="B459" t="s">
        <v>1223</v>
      </c>
      <c r="C459" t="s">
        <v>1224</v>
      </c>
      <c r="D459" t="s">
        <v>1225</v>
      </c>
      <c r="E459" t="s">
        <v>998</v>
      </c>
      <c r="F459" t="s">
        <v>1223</v>
      </c>
      <c r="G459" t="s">
        <v>475</v>
      </c>
      <c r="H459" t="s">
        <v>10</v>
      </c>
      <c r="I459">
        <v>0</v>
      </c>
      <c r="J459" t="s">
        <v>1256</v>
      </c>
      <c r="K459" s="9">
        <v>2.605</v>
      </c>
      <c r="L459" s="9">
        <v>0.68</v>
      </c>
      <c r="M459" s="9">
        <v>0.282</v>
      </c>
      <c r="N459" t="s">
        <v>14</v>
      </c>
      <c r="S459" s="7">
        <v>40.96</v>
      </c>
      <c r="T459" s="7">
        <v>26.1</v>
      </c>
      <c r="X459" s="10" t="s">
        <v>483</v>
      </c>
      <c r="Y459" s="11" t="s">
        <v>1257</v>
      </c>
      <c r="Z459" t="s">
        <v>430</v>
      </c>
    </row>
    <row r="460" spans="1:26">
      <c r="A460">
        <v>649</v>
      </c>
      <c r="B460" t="s">
        <v>1223</v>
      </c>
      <c r="C460" t="s">
        <v>1224</v>
      </c>
      <c r="D460" t="s">
        <v>1225</v>
      </c>
      <c r="E460" t="s">
        <v>998</v>
      </c>
      <c r="F460" t="s">
        <v>1223</v>
      </c>
      <c r="G460" t="s">
        <v>155</v>
      </c>
      <c r="H460" t="s">
        <v>10</v>
      </c>
      <c r="I460">
        <v>0</v>
      </c>
      <c r="J460" t="s">
        <v>848</v>
      </c>
      <c r="K460" s="9">
        <v>3.017</v>
      </c>
      <c r="L460" s="9">
        <v>0.908</v>
      </c>
      <c r="M460" s="9">
        <v>1.842</v>
      </c>
      <c r="N460" t="s">
        <v>14</v>
      </c>
      <c r="O460" s="9">
        <v>4.73</v>
      </c>
      <c r="S460" s="7">
        <v>45.74</v>
      </c>
      <c r="T460" s="7">
        <v>30.1</v>
      </c>
      <c r="X460" s="10" t="s">
        <v>428</v>
      </c>
      <c r="Y460" s="11" t="s">
        <v>1251</v>
      </c>
      <c r="Z460" t="s">
        <v>430</v>
      </c>
    </row>
    <row r="461" spans="1:26">
      <c r="A461">
        <v>258</v>
      </c>
      <c r="B461" t="s">
        <v>1258</v>
      </c>
      <c r="C461" t="s">
        <v>1259</v>
      </c>
      <c r="D461" t="s">
        <v>1260</v>
      </c>
      <c r="E461" t="s">
        <v>1261</v>
      </c>
      <c r="F461" t="s">
        <v>1262</v>
      </c>
      <c r="G461" t="s">
        <v>50</v>
      </c>
      <c r="H461" t="s">
        <v>10</v>
      </c>
      <c r="I461">
        <v>0</v>
      </c>
      <c r="J461" t="s">
        <v>1230</v>
      </c>
      <c r="K461" s="9">
        <v>0.523029</v>
      </c>
      <c r="L461" s="9">
        <v>0.149662</v>
      </c>
      <c r="M461" s="9">
        <v>0.138431</v>
      </c>
      <c r="N461" t="s">
        <v>14</v>
      </c>
      <c r="O461" s="9">
        <v>1.73</v>
      </c>
      <c r="S461" s="7">
        <v>64.67</v>
      </c>
      <c r="T461" s="7">
        <v>28.61</v>
      </c>
      <c r="X461" s="10" t="s">
        <v>428</v>
      </c>
      <c r="Y461" s="11" t="s">
        <v>1263</v>
      </c>
      <c r="Z461" t="s">
        <v>522</v>
      </c>
    </row>
    <row r="462" spans="1:26">
      <c r="A462">
        <v>259</v>
      </c>
      <c r="B462" t="s">
        <v>1258</v>
      </c>
      <c r="C462" t="s">
        <v>1259</v>
      </c>
      <c r="D462" t="s">
        <v>1260</v>
      </c>
      <c r="E462" t="s">
        <v>1261</v>
      </c>
      <c r="F462" t="s">
        <v>1262</v>
      </c>
      <c r="G462" t="s">
        <v>57</v>
      </c>
      <c r="H462" t="s">
        <v>10</v>
      </c>
      <c r="I462">
        <v>0</v>
      </c>
      <c r="J462" t="s">
        <v>1264</v>
      </c>
      <c r="K462" s="9">
        <v>0.54057</v>
      </c>
      <c r="L462" s="9">
        <v>0.166989</v>
      </c>
      <c r="M462" s="9">
        <v>0.144793</v>
      </c>
      <c r="N462" t="s">
        <v>14</v>
      </c>
      <c r="O462" s="9">
        <v>1.83</v>
      </c>
      <c r="S462" s="7">
        <v>63.65</v>
      </c>
      <c r="T462" s="7">
        <v>30.89</v>
      </c>
      <c r="X462" s="10" t="s">
        <v>428</v>
      </c>
      <c r="Y462" s="11" t="s">
        <v>1265</v>
      </c>
      <c r="Z462" t="s">
        <v>522</v>
      </c>
    </row>
    <row r="463" spans="1:26">
      <c r="A463">
        <v>260</v>
      </c>
      <c r="B463" t="s">
        <v>1258</v>
      </c>
      <c r="C463" t="s">
        <v>1259</v>
      </c>
      <c r="D463" t="s">
        <v>1260</v>
      </c>
      <c r="E463" t="s">
        <v>1261</v>
      </c>
      <c r="F463" t="s">
        <v>1262</v>
      </c>
      <c r="G463" t="s">
        <v>62</v>
      </c>
      <c r="H463" t="s">
        <v>10</v>
      </c>
      <c r="I463">
        <v>0</v>
      </c>
      <c r="J463" t="s">
        <v>1266</v>
      </c>
      <c r="K463" s="9">
        <v>0.6054310000000001</v>
      </c>
      <c r="L463" s="9">
        <v>0.188395</v>
      </c>
      <c r="M463" s="9">
        <v>0.168375</v>
      </c>
      <c r="N463" t="s">
        <v>14</v>
      </c>
      <c r="O463" s="9">
        <v>2.12</v>
      </c>
      <c r="S463" s="7">
        <v>63.58</v>
      </c>
      <c r="T463" s="7">
        <v>31.12</v>
      </c>
      <c r="X463" s="10" t="s">
        <v>428</v>
      </c>
      <c r="Y463" s="11" t="s">
        <v>1267</v>
      </c>
      <c r="Z463" t="s">
        <v>522</v>
      </c>
    </row>
    <row r="464" spans="1:26">
      <c r="A464">
        <v>261</v>
      </c>
      <c r="B464" t="s">
        <v>1258</v>
      </c>
      <c r="C464" t="s">
        <v>1259</v>
      </c>
      <c r="D464" t="s">
        <v>1260</v>
      </c>
      <c r="E464" t="s">
        <v>1261</v>
      </c>
      <c r="F464" t="s">
        <v>1262</v>
      </c>
      <c r="G464" t="s">
        <v>66</v>
      </c>
      <c r="H464" t="s">
        <v>10</v>
      </c>
      <c r="I464">
        <v>0</v>
      </c>
      <c r="J464" t="s">
        <v>1268</v>
      </c>
      <c r="K464" s="9">
        <v>0.648482</v>
      </c>
      <c r="L464" s="9">
        <v>0.194638</v>
      </c>
      <c r="M464" s="9">
        <v>0.182958</v>
      </c>
      <c r="N464" t="s">
        <v>14</v>
      </c>
      <c r="S464" s="7">
        <v>63.93</v>
      </c>
      <c r="T464" s="7">
        <v>30.01</v>
      </c>
      <c r="X464" s="10" t="s">
        <v>483</v>
      </c>
      <c r="Y464" s="11" t="s">
        <v>1269</v>
      </c>
      <c r="Z464" t="s">
        <v>522</v>
      </c>
    </row>
    <row r="465" spans="1:26">
      <c r="A465">
        <v>262</v>
      </c>
      <c r="B465" t="s">
        <v>1258</v>
      </c>
      <c r="C465" t="s">
        <v>1259</v>
      </c>
      <c r="D465" t="s">
        <v>1260</v>
      </c>
      <c r="E465" t="s">
        <v>1261</v>
      </c>
      <c r="F465" t="s">
        <v>1262</v>
      </c>
      <c r="G465" t="s">
        <v>71</v>
      </c>
      <c r="H465" t="s">
        <v>10</v>
      </c>
      <c r="I465">
        <v>0</v>
      </c>
      <c r="J465" t="s">
        <v>1270</v>
      </c>
      <c r="K465" s="9">
        <v>0.667562</v>
      </c>
      <c r="L465" s="9">
        <v>0.206292</v>
      </c>
      <c r="M465" s="9">
        <v>0.180366</v>
      </c>
      <c r="N465" t="s">
        <v>14</v>
      </c>
      <c r="O465" s="9">
        <v>0.57</v>
      </c>
      <c r="S465" s="7">
        <v>63.71</v>
      </c>
      <c r="T465" s="7">
        <v>30.9</v>
      </c>
      <c r="X465" s="10" t="s">
        <v>428</v>
      </c>
      <c r="Y465" s="11" t="s">
        <v>1271</v>
      </c>
      <c r="Z465" t="s">
        <v>522</v>
      </c>
    </row>
    <row r="466" spans="1:26">
      <c r="A466">
        <v>263</v>
      </c>
      <c r="B466" t="s">
        <v>1258</v>
      </c>
      <c r="C466" t="s">
        <v>1259</v>
      </c>
      <c r="D466" t="s">
        <v>1260</v>
      </c>
      <c r="E466" t="s">
        <v>1261</v>
      </c>
      <c r="F466" t="s">
        <v>1262</v>
      </c>
      <c r="G466" t="s">
        <v>75</v>
      </c>
      <c r="H466" t="s">
        <v>10</v>
      </c>
      <c r="I466">
        <v>0</v>
      </c>
      <c r="J466" t="s">
        <v>1272</v>
      </c>
      <c r="K466" s="9">
        <v>0.707319</v>
      </c>
      <c r="L466" s="9">
        <v>0.219365</v>
      </c>
      <c r="M466" s="9">
        <v>0.196888</v>
      </c>
      <c r="N466" t="s">
        <v>14</v>
      </c>
      <c r="O466" s="9">
        <v>0.62</v>
      </c>
      <c r="S466" s="7">
        <v>64.20999999999999</v>
      </c>
      <c r="T466" s="7">
        <v>31.01</v>
      </c>
      <c r="X466" s="10" t="s">
        <v>428</v>
      </c>
      <c r="Y466" s="11" t="s">
        <v>1273</v>
      </c>
      <c r="Z466" t="s">
        <v>522</v>
      </c>
    </row>
    <row r="467" spans="1:26">
      <c r="A467">
        <v>264</v>
      </c>
      <c r="B467" t="s">
        <v>1258</v>
      </c>
      <c r="C467" t="s">
        <v>1259</v>
      </c>
      <c r="D467" t="s">
        <v>1260</v>
      </c>
      <c r="E467" t="s">
        <v>1261</v>
      </c>
      <c r="F467" t="s">
        <v>1262</v>
      </c>
      <c r="G467" t="s">
        <v>80</v>
      </c>
      <c r="H467" t="s">
        <v>10</v>
      </c>
      <c r="I467">
        <v>0</v>
      </c>
      <c r="J467" t="s">
        <v>1274</v>
      </c>
      <c r="K467" s="9">
        <v>0.7486969999999999</v>
      </c>
      <c r="L467" s="9">
        <v>0.233294</v>
      </c>
      <c r="M467" s="9">
        <v>0.224305</v>
      </c>
      <c r="N467" t="s">
        <v>14</v>
      </c>
      <c r="O467" s="9">
        <v>0.7</v>
      </c>
      <c r="S467" s="7">
        <v>63.93</v>
      </c>
      <c r="T467" s="7">
        <v>31.16</v>
      </c>
      <c r="X467" s="10" t="s">
        <v>428</v>
      </c>
      <c r="Y467" s="11" t="s">
        <v>1275</v>
      </c>
      <c r="Z467" t="s">
        <v>522</v>
      </c>
    </row>
    <row r="468" spans="1:26">
      <c r="A468">
        <v>265</v>
      </c>
      <c r="B468" t="s">
        <v>1258</v>
      </c>
      <c r="C468" t="s">
        <v>1259</v>
      </c>
      <c r="D468" t="s">
        <v>1260</v>
      </c>
      <c r="E468" t="s">
        <v>1261</v>
      </c>
      <c r="F468" t="s">
        <v>1262</v>
      </c>
      <c r="G468" t="s">
        <v>85</v>
      </c>
      <c r="H468" t="s">
        <v>10</v>
      </c>
      <c r="I468">
        <v>0</v>
      </c>
      <c r="J468" t="s">
        <v>1276</v>
      </c>
      <c r="K468" s="9">
        <v>0.8244590000000001</v>
      </c>
      <c r="L468" s="9">
        <v>0.265788</v>
      </c>
      <c r="M468" s="9">
        <v>0.239295</v>
      </c>
      <c r="N468" t="s">
        <v>14</v>
      </c>
      <c r="S468" s="7">
        <v>63.4</v>
      </c>
      <c r="T468" s="7">
        <v>32.24</v>
      </c>
      <c r="X468" s="10" t="s">
        <v>483</v>
      </c>
      <c r="Y468" s="11" t="s">
        <v>1277</v>
      </c>
      <c r="Z468" t="s">
        <v>522</v>
      </c>
    </row>
    <row r="469" spans="1:26">
      <c r="A469">
        <v>266</v>
      </c>
      <c r="B469" t="s">
        <v>1258</v>
      </c>
      <c r="C469" t="s">
        <v>1259</v>
      </c>
      <c r="D469" t="s">
        <v>1260</v>
      </c>
      <c r="E469" t="s">
        <v>1261</v>
      </c>
      <c r="F469" t="s">
        <v>1262</v>
      </c>
      <c r="G469" t="s">
        <v>89</v>
      </c>
      <c r="H469" t="s">
        <v>10</v>
      </c>
      <c r="I469">
        <v>0</v>
      </c>
      <c r="J469" t="s">
        <v>1278</v>
      </c>
      <c r="K469" s="9">
        <v>0.877066</v>
      </c>
      <c r="L469" s="9">
        <v>0.277987</v>
      </c>
      <c r="M469" s="9">
        <v>0.272259</v>
      </c>
      <c r="N469" t="s">
        <v>14</v>
      </c>
      <c r="O469" s="9">
        <v>0.85</v>
      </c>
      <c r="S469" s="7">
        <v>63.15</v>
      </c>
      <c r="T469" s="7">
        <v>31.7</v>
      </c>
      <c r="X469" s="10" t="s">
        <v>428</v>
      </c>
      <c r="Y469" s="11" t="s">
        <v>1279</v>
      </c>
      <c r="Z469" t="s">
        <v>522</v>
      </c>
    </row>
    <row r="470" spans="1:26">
      <c r="A470">
        <v>267</v>
      </c>
      <c r="B470" t="s">
        <v>1258</v>
      </c>
      <c r="C470" t="s">
        <v>1259</v>
      </c>
      <c r="D470" t="s">
        <v>1260</v>
      </c>
      <c r="E470" t="s">
        <v>1261</v>
      </c>
      <c r="F470" t="s">
        <v>1262</v>
      </c>
      <c r="G470" t="s">
        <v>93</v>
      </c>
      <c r="H470" t="s">
        <v>10</v>
      </c>
      <c r="I470">
        <v>0</v>
      </c>
      <c r="J470" t="s">
        <v>751</v>
      </c>
      <c r="K470" s="9">
        <v>1.051891</v>
      </c>
      <c r="L470" s="9">
        <v>0.362853</v>
      </c>
      <c r="M470" s="9">
        <v>0.299099</v>
      </c>
      <c r="N470" t="s">
        <v>14</v>
      </c>
      <c r="O470" s="9">
        <v>0.9399999999999999</v>
      </c>
      <c r="S470" s="7">
        <v>61.15</v>
      </c>
      <c r="T470" s="7">
        <v>34.5</v>
      </c>
      <c r="X470" s="10" t="s">
        <v>428</v>
      </c>
      <c r="Y470" s="11" t="s">
        <v>1280</v>
      </c>
      <c r="Z470" t="s">
        <v>522</v>
      </c>
    </row>
    <row r="471" spans="1:26">
      <c r="A471">
        <v>268</v>
      </c>
      <c r="B471" t="s">
        <v>1258</v>
      </c>
      <c r="C471" t="s">
        <v>1259</v>
      </c>
      <c r="D471" t="s">
        <v>1260</v>
      </c>
      <c r="E471" t="s">
        <v>1261</v>
      </c>
      <c r="F471" t="s">
        <v>1262</v>
      </c>
      <c r="G471" t="s">
        <v>98</v>
      </c>
      <c r="H471" t="s">
        <v>10</v>
      </c>
      <c r="I471">
        <v>0</v>
      </c>
      <c r="J471" t="s">
        <v>1104</v>
      </c>
      <c r="K471" s="9">
        <v>1.176801</v>
      </c>
      <c r="L471" s="9">
        <v>0.417347</v>
      </c>
      <c r="M471" s="9">
        <v>0.353999</v>
      </c>
      <c r="N471" t="s">
        <v>14</v>
      </c>
      <c r="O471" s="9">
        <v>1.13</v>
      </c>
      <c r="S471" s="7">
        <v>60.33</v>
      </c>
      <c r="T471" s="7">
        <v>35.46</v>
      </c>
      <c r="X471" s="10" t="s">
        <v>428</v>
      </c>
      <c r="Y471" s="11" t="s">
        <v>1281</v>
      </c>
      <c r="Z471" t="s">
        <v>522</v>
      </c>
    </row>
    <row r="472" spans="1:26">
      <c r="A472">
        <v>269</v>
      </c>
      <c r="B472" t="s">
        <v>1258</v>
      </c>
      <c r="C472" t="s">
        <v>1259</v>
      </c>
      <c r="D472" t="s">
        <v>1260</v>
      </c>
      <c r="E472" t="s">
        <v>1261</v>
      </c>
      <c r="F472" t="s">
        <v>1262</v>
      </c>
      <c r="G472" t="s">
        <v>103</v>
      </c>
      <c r="H472" t="s">
        <v>10</v>
      </c>
      <c r="I472">
        <v>0</v>
      </c>
      <c r="J472" t="s">
        <v>1282</v>
      </c>
      <c r="K472" s="9">
        <v>1.275552</v>
      </c>
      <c r="L472" s="9">
        <v>0.468919</v>
      </c>
      <c r="M472" s="9">
        <v>0.427089</v>
      </c>
      <c r="N472" t="s">
        <v>14</v>
      </c>
      <c r="S472" s="7">
        <v>60.26</v>
      </c>
      <c r="T472" s="7">
        <v>36.76</v>
      </c>
      <c r="X472" s="10" t="s">
        <v>483</v>
      </c>
      <c r="Y472" s="11" t="s">
        <v>1283</v>
      </c>
      <c r="Z472" t="s">
        <v>522</v>
      </c>
    </row>
    <row r="473" spans="1:26">
      <c r="A473">
        <v>270</v>
      </c>
      <c r="B473" t="s">
        <v>1258</v>
      </c>
      <c r="C473" t="s">
        <v>1259</v>
      </c>
      <c r="D473" t="s">
        <v>1260</v>
      </c>
      <c r="E473" t="s">
        <v>1261</v>
      </c>
      <c r="F473" t="s">
        <v>1262</v>
      </c>
      <c r="G473" t="s">
        <v>107</v>
      </c>
      <c r="H473" t="s">
        <v>10</v>
      </c>
      <c r="I473">
        <v>0</v>
      </c>
      <c r="J473" t="s">
        <v>1284</v>
      </c>
      <c r="K473" s="9">
        <v>1.351351</v>
      </c>
      <c r="L473" s="9">
        <v>0.484578</v>
      </c>
      <c r="M473" s="9">
        <v>0.436473</v>
      </c>
      <c r="N473" t="s">
        <v>14</v>
      </c>
      <c r="O473" s="9">
        <v>1.38</v>
      </c>
      <c r="S473" s="7">
        <v>59.53</v>
      </c>
      <c r="T473" s="7">
        <v>35.86</v>
      </c>
      <c r="X473" s="10" t="s">
        <v>428</v>
      </c>
      <c r="Y473" s="11" t="s">
        <v>1285</v>
      </c>
      <c r="Z473" t="s">
        <v>522</v>
      </c>
    </row>
    <row r="474" spans="1:26">
      <c r="A474">
        <v>271</v>
      </c>
      <c r="B474" t="s">
        <v>1258</v>
      </c>
      <c r="C474" t="s">
        <v>1259</v>
      </c>
      <c r="D474" t="s">
        <v>1260</v>
      </c>
      <c r="E474" t="s">
        <v>1261</v>
      </c>
      <c r="F474" t="s">
        <v>1262</v>
      </c>
      <c r="G474" t="s">
        <v>112</v>
      </c>
      <c r="H474" t="s">
        <v>10</v>
      </c>
      <c r="I474">
        <v>0</v>
      </c>
      <c r="J474" t="s">
        <v>316</v>
      </c>
      <c r="K474" s="9">
        <v>1.458924</v>
      </c>
      <c r="L474" s="9">
        <v>0.530062</v>
      </c>
      <c r="M474" s="9">
        <v>0.491885</v>
      </c>
      <c r="N474" t="s">
        <v>14</v>
      </c>
      <c r="O474" s="9">
        <v>1.55</v>
      </c>
      <c r="S474" s="7">
        <v>60.6</v>
      </c>
      <c r="T474" s="7">
        <v>36.33</v>
      </c>
      <c r="X474" s="10" t="s">
        <v>428</v>
      </c>
      <c r="Y474" s="11" t="s">
        <v>1286</v>
      </c>
      <c r="Z474" t="s">
        <v>522</v>
      </c>
    </row>
    <row r="475" spans="1:26">
      <c r="A475">
        <v>272</v>
      </c>
      <c r="B475" t="s">
        <v>1258</v>
      </c>
      <c r="C475" t="s">
        <v>1259</v>
      </c>
      <c r="D475" t="s">
        <v>1260</v>
      </c>
      <c r="E475" t="s">
        <v>1261</v>
      </c>
      <c r="F475" t="s">
        <v>1262</v>
      </c>
      <c r="G475" t="s">
        <v>116</v>
      </c>
      <c r="H475" t="s">
        <v>10</v>
      </c>
      <c r="I475">
        <v>0</v>
      </c>
      <c r="J475" t="s">
        <v>1287</v>
      </c>
      <c r="K475" s="9">
        <v>1.509456</v>
      </c>
      <c r="L475" s="9">
        <v>0.602695</v>
      </c>
      <c r="M475" s="9">
        <v>0.545327</v>
      </c>
      <c r="N475" t="s">
        <v>14</v>
      </c>
      <c r="O475" s="9">
        <v>1.72</v>
      </c>
      <c r="S475" s="7">
        <v>62.43</v>
      </c>
      <c r="T475" s="7">
        <v>39.93</v>
      </c>
      <c r="X475" s="10" t="s">
        <v>428</v>
      </c>
      <c r="Y475" s="11" t="s">
        <v>1288</v>
      </c>
      <c r="Z475" t="s">
        <v>522</v>
      </c>
    </row>
    <row r="476" spans="1:26">
      <c r="A476">
        <v>273</v>
      </c>
      <c r="B476" t="s">
        <v>1258</v>
      </c>
      <c r="C476" t="s">
        <v>1259</v>
      </c>
      <c r="D476" t="s">
        <v>1260</v>
      </c>
      <c r="E476" t="s">
        <v>1261</v>
      </c>
      <c r="F476" t="s">
        <v>1262</v>
      </c>
      <c r="G476" t="s">
        <v>120</v>
      </c>
      <c r="H476" t="s">
        <v>10</v>
      </c>
      <c r="I476">
        <v>0</v>
      </c>
      <c r="J476" t="s">
        <v>1289</v>
      </c>
      <c r="K476" s="9">
        <v>1.540469</v>
      </c>
      <c r="L476" s="9">
        <v>0.639965</v>
      </c>
      <c r="M476" s="9">
        <v>0.613615</v>
      </c>
      <c r="N476" t="s">
        <v>14</v>
      </c>
      <c r="S476" s="7">
        <v>64.87</v>
      </c>
      <c r="T476" s="7">
        <v>41.54</v>
      </c>
      <c r="X476" s="10" t="s">
        <v>483</v>
      </c>
      <c r="Y476" s="11" t="s">
        <v>1290</v>
      </c>
      <c r="Z476" t="s">
        <v>522</v>
      </c>
    </row>
    <row r="477" spans="1:26">
      <c r="A477">
        <v>274</v>
      </c>
      <c r="B477" t="s">
        <v>1258</v>
      </c>
      <c r="C477" t="s">
        <v>1259</v>
      </c>
      <c r="D477" t="s">
        <v>1260</v>
      </c>
      <c r="E477" t="s">
        <v>1261</v>
      </c>
      <c r="F477" t="s">
        <v>1262</v>
      </c>
      <c r="G477" t="s">
        <v>124</v>
      </c>
      <c r="H477" t="s">
        <v>10</v>
      </c>
      <c r="I477">
        <v>0</v>
      </c>
      <c r="J477" t="s">
        <v>507</v>
      </c>
      <c r="K477" s="9">
        <v>1.5714</v>
      </c>
      <c r="L477" s="9">
        <v>0.6602</v>
      </c>
      <c r="M477" s="9">
        <v>0.6377</v>
      </c>
      <c r="N477" t="s">
        <v>14</v>
      </c>
      <c r="O477" s="9">
        <v>0.5</v>
      </c>
      <c r="S477" s="7">
        <v>63.73</v>
      </c>
      <c r="T477" s="7">
        <v>42.01</v>
      </c>
      <c r="X477" s="10" t="s">
        <v>428</v>
      </c>
      <c r="Y477" s="11" t="s">
        <v>1291</v>
      </c>
      <c r="Z477" t="s">
        <v>522</v>
      </c>
    </row>
    <row r="478" spans="1:26">
      <c r="A478">
        <v>275</v>
      </c>
      <c r="B478" t="s">
        <v>1258</v>
      </c>
      <c r="C478" t="s">
        <v>1259</v>
      </c>
      <c r="D478" t="s">
        <v>1260</v>
      </c>
      <c r="E478" t="s">
        <v>1261</v>
      </c>
      <c r="F478" t="s">
        <v>1262</v>
      </c>
      <c r="G478" t="s">
        <v>128</v>
      </c>
      <c r="H478" t="s">
        <v>10</v>
      </c>
      <c r="I478">
        <v>0</v>
      </c>
      <c r="J478" t="s">
        <v>509</v>
      </c>
      <c r="K478" s="9">
        <v>1.6904</v>
      </c>
      <c r="L478" s="9">
        <v>0.6996</v>
      </c>
      <c r="M478" s="9">
        <v>0.6654</v>
      </c>
      <c r="N478" t="s">
        <v>14</v>
      </c>
      <c r="O478" s="9">
        <v>0.52</v>
      </c>
      <c r="S478" s="7">
        <v>64.91</v>
      </c>
      <c r="T478" s="7">
        <v>41.39</v>
      </c>
      <c r="X478" s="10" t="s">
        <v>428</v>
      </c>
      <c r="Y478" s="11" t="s">
        <v>1292</v>
      </c>
      <c r="Z478" t="s">
        <v>522</v>
      </c>
    </row>
    <row r="479" spans="1:26">
      <c r="A479">
        <v>276</v>
      </c>
      <c r="B479" t="s">
        <v>1258</v>
      </c>
      <c r="C479" t="s">
        <v>1259</v>
      </c>
      <c r="D479" t="s">
        <v>1260</v>
      </c>
      <c r="E479" t="s">
        <v>1261</v>
      </c>
      <c r="F479" t="s">
        <v>1262</v>
      </c>
      <c r="G479" t="s">
        <v>133</v>
      </c>
      <c r="H479" t="s">
        <v>10</v>
      </c>
      <c r="I479">
        <v>0</v>
      </c>
      <c r="J479" t="s">
        <v>511</v>
      </c>
      <c r="K479" s="9">
        <v>1.8109</v>
      </c>
      <c r="L479" s="9">
        <v>0.7853</v>
      </c>
      <c r="M479" s="9">
        <v>0.748</v>
      </c>
      <c r="N479" t="s">
        <v>14</v>
      </c>
      <c r="O479" s="9">
        <v>0.58</v>
      </c>
      <c r="S479" s="7">
        <v>64.15000000000001</v>
      </c>
      <c r="T479" s="7">
        <v>43.37</v>
      </c>
      <c r="X479" s="10" t="s">
        <v>428</v>
      </c>
      <c r="Y479" s="11" t="s">
        <v>1293</v>
      </c>
      <c r="Z479" t="s">
        <v>522</v>
      </c>
    </row>
    <row r="480" spans="1:26">
      <c r="A480">
        <v>277</v>
      </c>
      <c r="B480" t="s">
        <v>1258</v>
      </c>
      <c r="C480" t="s">
        <v>1259</v>
      </c>
      <c r="D480" t="s">
        <v>1260</v>
      </c>
      <c r="E480" t="s">
        <v>1261</v>
      </c>
      <c r="F480" t="s">
        <v>1262</v>
      </c>
      <c r="G480" t="s">
        <v>137</v>
      </c>
      <c r="H480" t="s">
        <v>10</v>
      </c>
      <c r="I480">
        <v>0</v>
      </c>
      <c r="J480" t="s">
        <v>1289</v>
      </c>
      <c r="K480" s="9">
        <v>1.9304</v>
      </c>
      <c r="L480" s="9">
        <v>0.7995</v>
      </c>
      <c r="M480" s="9">
        <v>0.801</v>
      </c>
      <c r="N480" t="s">
        <v>14</v>
      </c>
      <c r="S480" s="7">
        <v>63.77</v>
      </c>
      <c r="T480" s="7">
        <v>41.42</v>
      </c>
      <c r="X480" s="10" t="s">
        <v>483</v>
      </c>
      <c r="Y480" s="11" t="s">
        <v>1290</v>
      </c>
      <c r="Z480" t="s">
        <v>522</v>
      </c>
    </row>
    <row r="481" spans="1:26">
      <c r="A481">
        <v>278</v>
      </c>
      <c r="B481" t="s">
        <v>1258</v>
      </c>
      <c r="C481" t="s">
        <v>1259</v>
      </c>
      <c r="D481" t="s">
        <v>1260</v>
      </c>
      <c r="E481" t="s">
        <v>1261</v>
      </c>
      <c r="F481" t="s">
        <v>1262</v>
      </c>
      <c r="G481" t="s">
        <v>141</v>
      </c>
      <c r="H481" t="s">
        <v>10</v>
      </c>
      <c r="I481">
        <v>0</v>
      </c>
      <c r="J481" t="s">
        <v>513</v>
      </c>
      <c r="K481" s="9">
        <v>2.0048</v>
      </c>
      <c r="L481" s="9">
        <v>0.8588</v>
      </c>
      <c r="M481" s="9">
        <v>0.8138</v>
      </c>
      <c r="N481" t="s">
        <v>14</v>
      </c>
      <c r="O481" s="9">
        <v>0.64</v>
      </c>
      <c r="S481" s="7">
        <v>63.65</v>
      </c>
      <c r="T481" s="7">
        <v>42.84</v>
      </c>
      <c r="X481" s="10" t="s">
        <v>428</v>
      </c>
      <c r="Y481" s="11" t="s">
        <v>1294</v>
      </c>
      <c r="Z481" t="s">
        <v>522</v>
      </c>
    </row>
    <row r="482" spans="1:26">
      <c r="A482">
        <v>279</v>
      </c>
      <c r="B482" t="s">
        <v>1258</v>
      </c>
      <c r="C482" t="s">
        <v>1259</v>
      </c>
      <c r="D482" t="s">
        <v>1260</v>
      </c>
      <c r="E482" t="s">
        <v>1261</v>
      </c>
      <c r="F482" t="s">
        <v>1262</v>
      </c>
      <c r="G482" t="s">
        <v>146</v>
      </c>
      <c r="H482" t="s">
        <v>10</v>
      </c>
      <c r="I482">
        <v>0</v>
      </c>
      <c r="J482" t="s">
        <v>515</v>
      </c>
      <c r="K482" s="9">
        <v>2.2048</v>
      </c>
      <c r="L482" s="9">
        <v>0.9862</v>
      </c>
      <c r="M482" s="9">
        <v>0.8888</v>
      </c>
      <c r="N482" t="s">
        <v>14</v>
      </c>
      <c r="O482" s="9">
        <v>0.7</v>
      </c>
      <c r="S482" s="7">
        <v>65.25</v>
      </c>
      <c r="T482" s="7">
        <v>44.73</v>
      </c>
      <c r="X482" s="10" t="s">
        <v>428</v>
      </c>
      <c r="Y482" s="11" t="s">
        <v>1295</v>
      </c>
      <c r="Z482" t="s">
        <v>522</v>
      </c>
    </row>
    <row r="483" spans="1:26">
      <c r="A483">
        <v>280</v>
      </c>
      <c r="B483" t="s">
        <v>1258</v>
      </c>
      <c r="C483" t="s">
        <v>1259</v>
      </c>
      <c r="D483" t="s">
        <v>1260</v>
      </c>
      <c r="E483" t="s">
        <v>1261</v>
      </c>
      <c r="F483" t="s">
        <v>1262</v>
      </c>
      <c r="G483" t="s">
        <v>472</v>
      </c>
      <c r="H483" t="s">
        <v>10</v>
      </c>
      <c r="I483">
        <v>0</v>
      </c>
      <c r="J483" t="s">
        <v>511</v>
      </c>
      <c r="K483" s="9">
        <v>2.3083</v>
      </c>
      <c r="L483" s="9">
        <v>0.9782</v>
      </c>
      <c r="M483" s="9">
        <v>0.853</v>
      </c>
      <c r="N483" t="s">
        <v>14</v>
      </c>
      <c r="O483" s="9">
        <v>0.67</v>
      </c>
      <c r="S483" s="7">
        <v>64.56</v>
      </c>
      <c r="T483" s="7">
        <v>42.38</v>
      </c>
      <c r="X483" s="10" t="s">
        <v>428</v>
      </c>
      <c r="Y483" s="11" t="s">
        <v>1293</v>
      </c>
      <c r="Z483" t="s">
        <v>522</v>
      </c>
    </row>
    <row r="484" spans="1:26">
      <c r="A484">
        <v>281</v>
      </c>
      <c r="B484" t="s">
        <v>1258</v>
      </c>
      <c r="C484" t="s">
        <v>1259</v>
      </c>
      <c r="D484" t="s">
        <v>1260</v>
      </c>
      <c r="E484" t="s">
        <v>1261</v>
      </c>
      <c r="F484" t="s">
        <v>1262</v>
      </c>
      <c r="G484" t="s">
        <v>475</v>
      </c>
      <c r="H484" t="s">
        <v>10</v>
      </c>
      <c r="I484">
        <v>0</v>
      </c>
      <c r="J484" t="s">
        <v>1289</v>
      </c>
      <c r="K484" s="9">
        <v>2.4878</v>
      </c>
      <c r="L484" s="9">
        <v>1.0329</v>
      </c>
      <c r="M484" s="9">
        <v>0.9558</v>
      </c>
      <c r="N484" t="s">
        <v>14</v>
      </c>
      <c r="S484" s="7">
        <v>62.86</v>
      </c>
      <c r="T484" s="7">
        <v>41.52</v>
      </c>
      <c r="X484" s="10" t="s">
        <v>483</v>
      </c>
      <c r="Y484" s="11" t="s">
        <v>1290</v>
      </c>
      <c r="Z484" t="s">
        <v>522</v>
      </c>
    </row>
    <row r="485" spans="1:26">
      <c r="A485">
        <v>282</v>
      </c>
      <c r="B485" t="s">
        <v>1258</v>
      </c>
      <c r="C485" t="s">
        <v>1259</v>
      </c>
      <c r="D485" t="s">
        <v>1260</v>
      </c>
      <c r="E485" t="s">
        <v>1261</v>
      </c>
      <c r="F485" t="s">
        <v>1262</v>
      </c>
      <c r="G485" t="s">
        <v>150</v>
      </c>
      <c r="H485" t="s">
        <v>10</v>
      </c>
      <c r="I485">
        <v>0</v>
      </c>
      <c r="J485" t="s">
        <v>513</v>
      </c>
      <c r="K485" s="9">
        <v>2.709</v>
      </c>
      <c r="L485" s="9">
        <v>1.1578</v>
      </c>
      <c r="M485" s="9">
        <v>1.0229</v>
      </c>
      <c r="N485" t="s">
        <v>14</v>
      </c>
      <c r="O485" s="9">
        <v>0.8</v>
      </c>
      <c r="S485" s="7">
        <v>61.9</v>
      </c>
      <c r="T485" s="7">
        <v>42.74</v>
      </c>
      <c r="X485" s="10" t="s">
        <v>428</v>
      </c>
      <c r="Y485" s="11" t="s">
        <v>1294</v>
      </c>
      <c r="Z485" t="s">
        <v>522</v>
      </c>
    </row>
    <row r="486" spans="1:26">
      <c r="A486">
        <v>283</v>
      </c>
      <c r="B486" t="s">
        <v>1258</v>
      </c>
      <c r="C486" t="s">
        <v>1259</v>
      </c>
      <c r="D486" t="s">
        <v>1260</v>
      </c>
      <c r="E486" t="s">
        <v>1261</v>
      </c>
      <c r="F486" t="s">
        <v>1262</v>
      </c>
      <c r="G486" t="s">
        <v>155</v>
      </c>
      <c r="H486" t="s">
        <v>10</v>
      </c>
      <c r="I486">
        <v>0</v>
      </c>
      <c r="J486" t="s">
        <v>515</v>
      </c>
      <c r="K486" s="9">
        <v>3.0357</v>
      </c>
      <c r="L486" s="9">
        <v>1.378</v>
      </c>
      <c r="M486" s="9">
        <v>1.2129</v>
      </c>
      <c r="N486" t="s">
        <v>14</v>
      </c>
      <c r="O486" s="9">
        <v>0.95</v>
      </c>
      <c r="S486" s="7">
        <v>62.93</v>
      </c>
      <c r="T486" s="7">
        <v>45.39</v>
      </c>
      <c r="X486" s="10" t="s">
        <v>428</v>
      </c>
      <c r="Y486" s="11" t="s">
        <v>1295</v>
      </c>
      <c r="Z486" t="s">
        <v>522</v>
      </c>
    </row>
    <row r="487" spans="1:26">
      <c r="A487">
        <v>489</v>
      </c>
      <c r="B487" t="s">
        <v>1296</v>
      </c>
      <c r="C487" t="s">
        <v>1297</v>
      </c>
      <c r="D487" t="s">
        <v>1298</v>
      </c>
      <c r="E487" t="s">
        <v>1261</v>
      </c>
      <c r="F487" t="s">
        <v>1299</v>
      </c>
      <c r="G487" t="s">
        <v>50</v>
      </c>
      <c r="H487" t="s">
        <v>10</v>
      </c>
      <c r="I487">
        <v>0</v>
      </c>
      <c r="J487" t="s">
        <v>1300</v>
      </c>
      <c r="K487" s="9">
        <v>0.728084</v>
      </c>
      <c r="M487" s="9">
        <v>0.046266</v>
      </c>
      <c r="N487" t="s">
        <v>14</v>
      </c>
      <c r="O487" s="9">
        <v>0.38</v>
      </c>
      <c r="X487" s="10" t="s">
        <v>428</v>
      </c>
      <c r="Y487" s="11" t="s">
        <v>1301</v>
      </c>
      <c r="Z487" t="s">
        <v>430</v>
      </c>
    </row>
    <row r="488" spans="1:26">
      <c r="A488">
        <v>490</v>
      </c>
      <c r="B488" t="s">
        <v>1296</v>
      </c>
      <c r="C488" t="s">
        <v>1297</v>
      </c>
      <c r="D488" t="s">
        <v>1298</v>
      </c>
      <c r="E488" t="s">
        <v>1261</v>
      </c>
      <c r="F488" t="s">
        <v>1299</v>
      </c>
      <c r="G488" t="s">
        <v>57</v>
      </c>
      <c r="H488" t="s">
        <v>10</v>
      </c>
      <c r="I488">
        <v>0</v>
      </c>
      <c r="J488" t="s">
        <v>1302</v>
      </c>
      <c r="K488" s="9">
        <v>0.786569</v>
      </c>
      <c r="L488" s="9">
        <v>0.106283</v>
      </c>
      <c r="M488" s="9">
        <v>0.08790000000000001</v>
      </c>
      <c r="N488" t="s">
        <v>14</v>
      </c>
      <c r="O488" s="9">
        <v>0.73</v>
      </c>
      <c r="T488" s="7">
        <v>13.51</v>
      </c>
      <c r="X488" s="10" t="s">
        <v>428</v>
      </c>
      <c r="Y488" s="11" t="s">
        <v>1303</v>
      </c>
      <c r="Z488" t="s">
        <v>430</v>
      </c>
    </row>
    <row r="489" spans="1:26">
      <c r="A489">
        <v>491</v>
      </c>
      <c r="B489" t="s">
        <v>1296</v>
      </c>
      <c r="C489" t="s">
        <v>1297</v>
      </c>
      <c r="D489" t="s">
        <v>1298</v>
      </c>
      <c r="E489" t="s">
        <v>1261</v>
      </c>
      <c r="F489" t="s">
        <v>1299</v>
      </c>
      <c r="G489" t="s">
        <v>62</v>
      </c>
      <c r="H489" t="s">
        <v>10</v>
      </c>
      <c r="I489">
        <v>0</v>
      </c>
      <c r="J489" t="s">
        <v>1304</v>
      </c>
      <c r="K489" s="9">
        <v>0.627041</v>
      </c>
      <c r="M489" s="9">
        <v>0.005921</v>
      </c>
      <c r="N489" t="s">
        <v>14</v>
      </c>
      <c r="O489" s="9">
        <v>0.06</v>
      </c>
      <c r="X489" s="10" t="s">
        <v>428</v>
      </c>
      <c r="Y489" s="11" t="s">
        <v>1305</v>
      </c>
      <c r="Z489" t="s">
        <v>430</v>
      </c>
    </row>
    <row r="490" spans="1:26">
      <c r="A490">
        <v>492</v>
      </c>
      <c r="B490" t="s">
        <v>1296</v>
      </c>
      <c r="C490" t="s">
        <v>1297</v>
      </c>
      <c r="D490" t="s">
        <v>1298</v>
      </c>
      <c r="E490" t="s">
        <v>1261</v>
      </c>
      <c r="F490" t="s">
        <v>1299</v>
      </c>
      <c r="G490" t="s">
        <v>66</v>
      </c>
      <c r="H490" t="s">
        <v>10</v>
      </c>
      <c r="I490">
        <v>0</v>
      </c>
      <c r="J490" t="s">
        <v>1306</v>
      </c>
      <c r="K490" s="9">
        <v>0.74629</v>
      </c>
      <c r="M490" s="9">
        <v>0.051261</v>
      </c>
      <c r="N490" t="s">
        <v>14</v>
      </c>
      <c r="X490" s="10" t="s">
        <v>829</v>
      </c>
      <c r="Y490" s="11" t="s">
        <v>1307</v>
      </c>
      <c r="Z490" t="s">
        <v>430</v>
      </c>
    </row>
    <row r="491" spans="1:26">
      <c r="A491">
        <v>493</v>
      </c>
      <c r="B491" t="s">
        <v>1296</v>
      </c>
      <c r="C491" t="s">
        <v>1297</v>
      </c>
      <c r="D491" t="s">
        <v>1298</v>
      </c>
      <c r="E491" t="s">
        <v>1261</v>
      </c>
      <c r="F491" t="s">
        <v>1299</v>
      </c>
      <c r="G491" t="s">
        <v>71</v>
      </c>
      <c r="H491" t="s">
        <v>10</v>
      </c>
      <c r="I491">
        <v>0</v>
      </c>
      <c r="J491" t="s">
        <v>1308</v>
      </c>
      <c r="K491" s="9">
        <v>0.795111</v>
      </c>
      <c r="L491" s="9">
        <v>0.09044099999999999</v>
      </c>
      <c r="M491" s="9">
        <v>0.074464</v>
      </c>
      <c r="N491" t="s">
        <v>14</v>
      </c>
      <c r="O491" s="9">
        <v>0.5</v>
      </c>
      <c r="T491" s="7">
        <v>11.37</v>
      </c>
      <c r="X491" s="10" t="s">
        <v>428</v>
      </c>
      <c r="Y491" s="11" t="s">
        <v>1309</v>
      </c>
      <c r="Z491" t="s">
        <v>430</v>
      </c>
    </row>
    <row r="492" spans="1:26">
      <c r="A492">
        <v>494</v>
      </c>
      <c r="B492" t="s">
        <v>1296</v>
      </c>
      <c r="C492" t="s">
        <v>1297</v>
      </c>
      <c r="D492" t="s">
        <v>1298</v>
      </c>
      <c r="E492" t="s">
        <v>1261</v>
      </c>
      <c r="F492" t="s">
        <v>1299</v>
      </c>
      <c r="G492" t="s">
        <v>75</v>
      </c>
      <c r="H492" t="s">
        <v>10</v>
      </c>
      <c r="I492">
        <v>0</v>
      </c>
      <c r="J492" t="s">
        <v>1310</v>
      </c>
      <c r="K492" s="9">
        <v>0.806819</v>
      </c>
      <c r="L492" s="9">
        <v>0.07935399999999999</v>
      </c>
      <c r="M492" s="9">
        <v>0.06765699999999999</v>
      </c>
      <c r="N492" t="s">
        <v>14</v>
      </c>
      <c r="O492" s="9">
        <v>0.44</v>
      </c>
      <c r="T492" s="7">
        <v>9.84</v>
      </c>
      <c r="X492" s="10" t="s">
        <v>428</v>
      </c>
      <c r="Y492" s="11" t="s">
        <v>1311</v>
      </c>
      <c r="Z492" t="s">
        <v>430</v>
      </c>
    </row>
    <row r="493" spans="1:26">
      <c r="A493">
        <v>495</v>
      </c>
      <c r="B493" t="s">
        <v>1296</v>
      </c>
      <c r="C493" t="s">
        <v>1297</v>
      </c>
      <c r="D493" t="s">
        <v>1298</v>
      </c>
      <c r="E493" t="s">
        <v>1261</v>
      </c>
      <c r="F493" t="s">
        <v>1299</v>
      </c>
      <c r="G493" t="s">
        <v>80</v>
      </c>
      <c r="H493" t="s">
        <v>10</v>
      </c>
      <c r="I493">
        <v>0</v>
      </c>
      <c r="J493" t="s">
        <v>1312</v>
      </c>
      <c r="K493" s="9">
        <v>0.783232</v>
      </c>
      <c r="L493" s="9">
        <v>0.09347900000000001</v>
      </c>
      <c r="M493" s="9">
        <v>0.081092</v>
      </c>
      <c r="N493" t="s">
        <v>14</v>
      </c>
      <c r="O493" s="9">
        <v>0.66</v>
      </c>
      <c r="T493" s="7">
        <v>11.94</v>
      </c>
      <c r="X493" s="10" t="s">
        <v>428</v>
      </c>
      <c r="Y493" s="11" t="s">
        <v>1313</v>
      </c>
      <c r="Z493" t="s">
        <v>430</v>
      </c>
    </row>
    <row r="494" spans="1:26">
      <c r="A494">
        <v>496</v>
      </c>
      <c r="B494" t="s">
        <v>1296</v>
      </c>
      <c r="C494" t="s">
        <v>1297</v>
      </c>
      <c r="D494" t="s">
        <v>1298</v>
      </c>
      <c r="E494" t="s">
        <v>1261</v>
      </c>
      <c r="F494" t="s">
        <v>1299</v>
      </c>
      <c r="G494" t="s">
        <v>85</v>
      </c>
      <c r="H494" t="s">
        <v>10</v>
      </c>
      <c r="I494">
        <v>0</v>
      </c>
      <c r="J494" t="s">
        <v>1314</v>
      </c>
      <c r="K494" s="9">
        <v>0.808006</v>
      </c>
      <c r="M494" s="9">
        <v>0.08229400000000001</v>
      </c>
      <c r="N494" t="s">
        <v>14</v>
      </c>
      <c r="X494" s="10" t="s">
        <v>829</v>
      </c>
      <c r="Y494" s="11" t="s">
        <v>1315</v>
      </c>
      <c r="Z494" t="s">
        <v>430</v>
      </c>
    </row>
    <row r="495" spans="1:26">
      <c r="A495">
        <v>497</v>
      </c>
      <c r="B495" t="s">
        <v>1296</v>
      </c>
      <c r="C495" t="s">
        <v>1297</v>
      </c>
      <c r="D495" t="s">
        <v>1298</v>
      </c>
      <c r="E495" t="s">
        <v>1261</v>
      </c>
      <c r="F495" t="s">
        <v>1299</v>
      </c>
      <c r="G495" t="s">
        <v>89</v>
      </c>
      <c r="H495" t="s">
        <v>10</v>
      </c>
      <c r="I495">
        <v>0</v>
      </c>
      <c r="J495" t="s">
        <v>1239</v>
      </c>
      <c r="K495" s="9">
        <v>1.34457</v>
      </c>
      <c r="L495" s="9">
        <v>-0.051018</v>
      </c>
      <c r="M495" s="9">
        <v>-0.038698</v>
      </c>
      <c r="N495" t="s">
        <v>14</v>
      </c>
      <c r="O495" s="9">
        <v>-0.5600000000000001</v>
      </c>
      <c r="T495" s="7">
        <v>-3.79</v>
      </c>
      <c r="X495" s="10" t="s">
        <v>428</v>
      </c>
      <c r="Y495" s="11" t="s">
        <v>1316</v>
      </c>
      <c r="Z495" t="s">
        <v>430</v>
      </c>
    </row>
    <row r="496" spans="1:26">
      <c r="A496">
        <v>498</v>
      </c>
      <c r="B496" t="s">
        <v>1296</v>
      </c>
      <c r="C496" t="s">
        <v>1297</v>
      </c>
      <c r="D496" t="s">
        <v>1298</v>
      </c>
      <c r="E496" t="s">
        <v>1261</v>
      </c>
      <c r="F496" t="s">
        <v>1299</v>
      </c>
      <c r="G496" t="s">
        <v>93</v>
      </c>
      <c r="H496" t="s">
        <v>10</v>
      </c>
      <c r="I496">
        <v>0</v>
      </c>
      <c r="J496" t="s">
        <v>1317</v>
      </c>
      <c r="K496" s="9">
        <v>1.370285</v>
      </c>
      <c r="L496" s="9">
        <v>-0.066354</v>
      </c>
      <c r="M496" s="9">
        <v>-0.045072</v>
      </c>
      <c r="N496" t="s">
        <v>14</v>
      </c>
      <c r="O496" s="9">
        <v>-0.58</v>
      </c>
      <c r="T496" s="7">
        <v>-4.84</v>
      </c>
      <c r="X496" s="10" t="s">
        <v>428</v>
      </c>
      <c r="Y496" s="11" t="s">
        <v>1318</v>
      </c>
      <c r="Z496" t="s">
        <v>430</v>
      </c>
    </row>
    <row r="497" spans="1:26">
      <c r="A497">
        <v>499</v>
      </c>
      <c r="B497" t="s">
        <v>1296</v>
      </c>
      <c r="C497" t="s">
        <v>1297</v>
      </c>
      <c r="D497" t="s">
        <v>1298</v>
      </c>
      <c r="E497" t="s">
        <v>1261</v>
      </c>
      <c r="F497" t="s">
        <v>1299</v>
      </c>
      <c r="G497" t="s">
        <v>98</v>
      </c>
      <c r="H497" t="s">
        <v>10</v>
      </c>
      <c r="I497">
        <v>0</v>
      </c>
      <c r="J497" t="s">
        <v>1243</v>
      </c>
      <c r="K497" s="9">
        <v>0.827724</v>
      </c>
      <c r="L497" s="9">
        <v>0.063029</v>
      </c>
      <c r="M497" s="9">
        <v>-0.045072</v>
      </c>
      <c r="N497" t="s">
        <v>14</v>
      </c>
      <c r="O497" s="9">
        <v>0.28</v>
      </c>
      <c r="T497" s="7">
        <v>7.61</v>
      </c>
      <c r="X497" s="10" t="s">
        <v>428</v>
      </c>
      <c r="Y497" s="11" t="s">
        <v>1319</v>
      </c>
      <c r="Z497" t="s">
        <v>430</v>
      </c>
    </row>
    <row r="498" spans="1:26">
      <c r="A498">
        <v>500</v>
      </c>
      <c r="B498" t="s">
        <v>1296</v>
      </c>
      <c r="C498" t="s">
        <v>1297</v>
      </c>
      <c r="D498" t="s">
        <v>1298</v>
      </c>
      <c r="E498" t="s">
        <v>1261</v>
      </c>
      <c r="F498" t="s">
        <v>1299</v>
      </c>
      <c r="G498" t="s">
        <v>103</v>
      </c>
      <c r="H498" t="s">
        <v>10</v>
      </c>
      <c r="I498">
        <v>0</v>
      </c>
      <c r="J498" t="s">
        <v>1320</v>
      </c>
      <c r="K498" s="9">
        <v>0.886962</v>
      </c>
      <c r="L498" s="9">
        <v>0.048983</v>
      </c>
      <c r="M498" s="9">
        <v>0.043636</v>
      </c>
      <c r="N498" t="s">
        <v>14</v>
      </c>
      <c r="T498" s="7">
        <v>5.52</v>
      </c>
      <c r="X498" s="10" t="s">
        <v>436</v>
      </c>
      <c r="Y498" s="11" t="s">
        <v>1321</v>
      </c>
      <c r="Z498" t="s">
        <v>430</v>
      </c>
    </row>
    <row r="499" spans="1:26">
      <c r="A499">
        <v>501</v>
      </c>
      <c r="B499" t="s">
        <v>1296</v>
      </c>
      <c r="C499" t="s">
        <v>1297</v>
      </c>
      <c r="D499" t="s">
        <v>1298</v>
      </c>
      <c r="E499" t="s">
        <v>1261</v>
      </c>
      <c r="F499" t="s">
        <v>1299</v>
      </c>
      <c r="G499" t="s">
        <v>107</v>
      </c>
      <c r="H499" t="s">
        <v>10</v>
      </c>
      <c r="I499">
        <v>0</v>
      </c>
      <c r="J499" t="s">
        <v>1322</v>
      </c>
      <c r="K499" s="9">
        <v>1.053083</v>
      </c>
      <c r="L499" s="9">
        <v>-0.088297</v>
      </c>
      <c r="M499" s="9">
        <v>-0.067534</v>
      </c>
      <c r="N499" t="s">
        <v>14</v>
      </c>
      <c r="O499" s="9">
        <v>-0.65</v>
      </c>
      <c r="T499" s="7">
        <v>-8.380000000000001</v>
      </c>
      <c r="X499" s="10" t="s">
        <v>428</v>
      </c>
      <c r="Y499" s="11" t="s">
        <v>1323</v>
      </c>
      <c r="Z499" t="s">
        <v>430</v>
      </c>
    </row>
    <row r="500" spans="1:26">
      <c r="A500">
        <v>502</v>
      </c>
      <c r="B500" t="s">
        <v>1296</v>
      </c>
      <c r="C500" t="s">
        <v>1297</v>
      </c>
      <c r="D500" t="s">
        <v>1298</v>
      </c>
      <c r="E500" t="s">
        <v>1261</v>
      </c>
      <c r="F500" t="s">
        <v>1299</v>
      </c>
      <c r="G500" t="s">
        <v>112</v>
      </c>
      <c r="H500" t="s">
        <v>10</v>
      </c>
      <c r="I500">
        <v>0</v>
      </c>
      <c r="J500" t="s">
        <v>499</v>
      </c>
      <c r="K500" s="9">
        <v>1.131434</v>
      </c>
      <c r="L500" s="9">
        <v>-0.037407</v>
      </c>
      <c r="M500" s="9">
        <v>-0.028475</v>
      </c>
      <c r="N500" t="s">
        <v>14</v>
      </c>
      <c r="O500" s="9">
        <v>-0.38</v>
      </c>
      <c r="T500" s="7">
        <v>-3.31</v>
      </c>
      <c r="X500" s="10" t="s">
        <v>428</v>
      </c>
      <c r="Y500" s="11" t="s">
        <v>1324</v>
      </c>
      <c r="Z500" t="s">
        <v>430</v>
      </c>
    </row>
    <row r="501" spans="1:26">
      <c r="A501">
        <v>503</v>
      </c>
      <c r="B501" t="s">
        <v>1296</v>
      </c>
      <c r="C501" t="s">
        <v>1297</v>
      </c>
      <c r="D501" t="s">
        <v>1298</v>
      </c>
      <c r="E501" t="s">
        <v>1261</v>
      </c>
      <c r="F501" t="s">
        <v>1299</v>
      </c>
      <c r="G501" t="s">
        <v>116</v>
      </c>
      <c r="H501" t="s">
        <v>10</v>
      </c>
      <c r="I501">
        <v>0</v>
      </c>
      <c r="J501" t="s">
        <v>1325</v>
      </c>
      <c r="K501" s="9">
        <v>1.240194</v>
      </c>
      <c r="L501" s="9">
        <v>-0.004747</v>
      </c>
      <c r="M501" s="9">
        <v>-0.028475</v>
      </c>
      <c r="N501" t="s">
        <v>14</v>
      </c>
      <c r="O501" s="9">
        <v>-0.24</v>
      </c>
      <c r="T501" s="7">
        <v>-0.38</v>
      </c>
      <c r="X501" s="10" t="s">
        <v>428</v>
      </c>
      <c r="Y501" s="11" t="s">
        <v>1326</v>
      </c>
      <c r="Z501" t="s">
        <v>430</v>
      </c>
    </row>
    <row r="502" spans="1:26">
      <c r="A502">
        <v>504</v>
      </c>
      <c r="B502" t="s">
        <v>1296</v>
      </c>
      <c r="C502" t="s">
        <v>1297</v>
      </c>
      <c r="D502" t="s">
        <v>1298</v>
      </c>
      <c r="E502" t="s">
        <v>1261</v>
      </c>
      <c r="F502" t="s">
        <v>1299</v>
      </c>
      <c r="G502" t="s">
        <v>120</v>
      </c>
      <c r="H502" t="s">
        <v>10</v>
      </c>
      <c r="I502">
        <v>0</v>
      </c>
      <c r="J502" t="s">
        <v>1327</v>
      </c>
      <c r="K502" s="9">
        <v>1.205051</v>
      </c>
      <c r="L502" s="9">
        <v>-0.233439</v>
      </c>
      <c r="M502" s="9">
        <v>-0.178234</v>
      </c>
      <c r="N502" t="s">
        <v>14</v>
      </c>
      <c r="T502" s="7">
        <v>-19.37</v>
      </c>
      <c r="X502" s="10" t="s">
        <v>436</v>
      </c>
      <c r="Y502" s="11" t="s">
        <v>1328</v>
      </c>
      <c r="Z502" t="s">
        <v>430</v>
      </c>
    </row>
    <row r="503" spans="1:26">
      <c r="A503">
        <v>505</v>
      </c>
      <c r="B503" t="s">
        <v>1296</v>
      </c>
      <c r="C503" t="s">
        <v>1297</v>
      </c>
      <c r="D503" t="s">
        <v>1298</v>
      </c>
      <c r="E503" t="s">
        <v>1261</v>
      </c>
      <c r="F503" t="s">
        <v>1299</v>
      </c>
      <c r="G503" t="s">
        <v>124</v>
      </c>
      <c r="H503" t="s">
        <v>10</v>
      </c>
      <c r="I503">
        <v>0</v>
      </c>
      <c r="J503" t="s">
        <v>511</v>
      </c>
      <c r="K503" s="9">
        <v>1.348135</v>
      </c>
      <c r="L503" s="9">
        <v>0.019303</v>
      </c>
      <c r="M503" s="9">
        <v>0.024861</v>
      </c>
      <c r="N503" t="s">
        <v>14</v>
      </c>
      <c r="O503" s="9">
        <v>-0.04</v>
      </c>
      <c r="T503" s="7">
        <v>1.43</v>
      </c>
      <c r="X503" s="10" t="s">
        <v>428</v>
      </c>
      <c r="Y503" s="11" t="s">
        <v>1329</v>
      </c>
      <c r="Z503" t="s">
        <v>430</v>
      </c>
    </row>
    <row r="504" spans="1:26">
      <c r="A504">
        <v>506</v>
      </c>
      <c r="B504" t="s">
        <v>1296</v>
      </c>
      <c r="C504" t="s">
        <v>1297</v>
      </c>
      <c r="D504" t="s">
        <v>1298</v>
      </c>
      <c r="E504" t="s">
        <v>1261</v>
      </c>
      <c r="F504" t="s">
        <v>1299</v>
      </c>
      <c r="G504" t="s">
        <v>128</v>
      </c>
      <c r="H504" t="s">
        <v>10</v>
      </c>
      <c r="I504">
        <v>0</v>
      </c>
      <c r="J504" t="s">
        <v>505</v>
      </c>
      <c r="K504" s="9">
        <v>1.434665</v>
      </c>
      <c r="L504" s="9">
        <v>0.128404</v>
      </c>
      <c r="M504" s="9">
        <v>0.101542</v>
      </c>
      <c r="N504" t="s">
        <v>14</v>
      </c>
      <c r="O504" s="9">
        <v>0.44</v>
      </c>
      <c r="T504" s="7">
        <v>8.949999999999999</v>
      </c>
      <c r="X504" s="10" t="s">
        <v>428</v>
      </c>
      <c r="Y504" s="11" t="s">
        <v>1330</v>
      </c>
      <c r="Z504" t="s">
        <v>430</v>
      </c>
    </row>
    <row r="505" spans="1:26">
      <c r="A505">
        <v>507</v>
      </c>
      <c r="B505" t="s">
        <v>1296</v>
      </c>
      <c r="C505" t="s">
        <v>1297</v>
      </c>
      <c r="D505" t="s">
        <v>1298</v>
      </c>
      <c r="E505" t="s">
        <v>1261</v>
      </c>
      <c r="F505" t="s">
        <v>1299</v>
      </c>
      <c r="G505" t="s">
        <v>133</v>
      </c>
      <c r="H505" t="s">
        <v>10</v>
      </c>
      <c r="I505">
        <v>0</v>
      </c>
      <c r="J505" t="s">
        <v>507</v>
      </c>
      <c r="K505" s="9">
        <v>1.208809</v>
      </c>
      <c r="L505" s="9">
        <v>-0.031851</v>
      </c>
      <c r="M505" s="9">
        <v>0.101542</v>
      </c>
      <c r="N505" t="s">
        <v>14</v>
      </c>
      <c r="O505" s="9">
        <v>-0.29</v>
      </c>
      <c r="T505" s="7">
        <v>-2.63</v>
      </c>
      <c r="X505" s="10" t="s">
        <v>428</v>
      </c>
      <c r="Y505" s="11" t="s">
        <v>1331</v>
      </c>
      <c r="Z505" t="s">
        <v>430</v>
      </c>
    </row>
    <row r="506" spans="1:26">
      <c r="A506">
        <v>508</v>
      </c>
      <c r="B506" t="s">
        <v>1296</v>
      </c>
      <c r="C506" t="s">
        <v>1297</v>
      </c>
      <c r="D506" t="s">
        <v>1298</v>
      </c>
      <c r="E506" t="s">
        <v>1261</v>
      </c>
      <c r="F506" t="s">
        <v>1299</v>
      </c>
      <c r="G506" t="s">
        <v>137</v>
      </c>
      <c r="H506" t="s">
        <v>10</v>
      </c>
      <c r="I506">
        <v>0</v>
      </c>
      <c r="J506" t="s">
        <v>1256</v>
      </c>
      <c r="K506" s="9">
        <v>1.314362</v>
      </c>
      <c r="L506" s="9">
        <v>0.009908</v>
      </c>
      <c r="M506" s="9">
        <v>-0.047025</v>
      </c>
      <c r="N506" t="s">
        <v>14</v>
      </c>
      <c r="T506" s="7">
        <v>0.75</v>
      </c>
      <c r="X506" s="10" t="s">
        <v>436</v>
      </c>
      <c r="Y506" s="11" t="s">
        <v>1332</v>
      </c>
      <c r="Z506" t="s">
        <v>430</v>
      </c>
    </row>
    <row r="507" spans="1:26">
      <c r="A507">
        <v>509</v>
      </c>
      <c r="B507" t="s">
        <v>1296</v>
      </c>
      <c r="C507" t="s">
        <v>1297</v>
      </c>
      <c r="D507" t="s">
        <v>1298</v>
      </c>
      <c r="E507" t="s">
        <v>1261</v>
      </c>
      <c r="F507" t="s">
        <v>1299</v>
      </c>
      <c r="G507" t="s">
        <v>141</v>
      </c>
      <c r="H507" t="s">
        <v>10</v>
      </c>
      <c r="I507">
        <v>0</v>
      </c>
      <c r="J507" t="s">
        <v>511</v>
      </c>
      <c r="K507" s="9">
        <v>1.581378</v>
      </c>
      <c r="L507" s="9">
        <v>0.216886</v>
      </c>
      <c r="M507" s="9">
        <v>0.225196</v>
      </c>
      <c r="N507" t="s">
        <v>14</v>
      </c>
      <c r="O507" s="9">
        <v>1.19</v>
      </c>
      <c r="T507" s="7">
        <v>13.72</v>
      </c>
      <c r="X507" s="10" t="s">
        <v>428</v>
      </c>
      <c r="Y507" s="11" t="s">
        <v>1329</v>
      </c>
      <c r="Z507" t="s">
        <v>430</v>
      </c>
    </row>
    <row r="508" spans="1:26">
      <c r="A508">
        <v>510</v>
      </c>
      <c r="B508" t="s">
        <v>1296</v>
      </c>
      <c r="C508" t="s">
        <v>1297</v>
      </c>
      <c r="D508" t="s">
        <v>1298</v>
      </c>
      <c r="E508" t="s">
        <v>1261</v>
      </c>
      <c r="F508" t="s">
        <v>1299</v>
      </c>
      <c r="G508" t="s">
        <v>146</v>
      </c>
      <c r="H508" t="s">
        <v>10</v>
      </c>
      <c r="I508">
        <v>0</v>
      </c>
      <c r="J508" t="s">
        <v>505</v>
      </c>
      <c r="K508" s="9">
        <v>1.685629</v>
      </c>
      <c r="L508" s="9">
        <v>0.167988</v>
      </c>
      <c r="M508" s="9">
        <v>0.143814</v>
      </c>
      <c r="N508" t="s">
        <v>14</v>
      </c>
      <c r="O508" s="9">
        <v>0.76</v>
      </c>
      <c r="T508" s="7">
        <v>9.970000000000001</v>
      </c>
      <c r="X508" s="10" t="s">
        <v>428</v>
      </c>
      <c r="Y508" s="11" t="s">
        <v>1330</v>
      </c>
      <c r="Z508" t="s">
        <v>430</v>
      </c>
    </row>
    <row r="509" spans="1:26">
      <c r="A509">
        <v>511</v>
      </c>
      <c r="B509" t="s">
        <v>1296</v>
      </c>
      <c r="C509" t="s">
        <v>1297</v>
      </c>
      <c r="D509" t="s">
        <v>1298</v>
      </c>
      <c r="E509" t="s">
        <v>1261</v>
      </c>
      <c r="F509" t="s">
        <v>1299</v>
      </c>
      <c r="G509" t="s">
        <v>472</v>
      </c>
      <c r="H509" t="s">
        <v>10</v>
      </c>
      <c r="I509">
        <v>0</v>
      </c>
      <c r="J509" t="s">
        <v>513</v>
      </c>
      <c r="K509" s="9">
        <v>1.497879</v>
      </c>
      <c r="L509" s="9">
        <v>0.009889999999999999</v>
      </c>
      <c r="M509" s="9">
        <v>0.143814</v>
      </c>
      <c r="N509" t="s">
        <v>14</v>
      </c>
      <c r="O509" s="9">
        <v>-0.11</v>
      </c>
      <c r="T509" s="7">
        <v>0.66</v>
      </c>
      <c r="X509" s="10" t="s">
        <v>428</v>
      </c>
      <c r="Y509" s="11" t="s">
        <v>1333</v>
      </c>
      <c r="Z509" t="s">
        <v>430</v>
      </c>
    </row>
    <row r="510" spans="1:26">
      <c r="A510">
        <v>512</v>
      </c>
      <c r="B510" t="s">
        <v>1296</v>
      </c>
      <c r="C510" t="s">
        <v>1297</v>
      </c>
      <c r="D510" t="s">
        <v>1298</v>
      </c>
      <c r="E510" t="s">
        <v>1261</v>
      </c>
      <c r="F510" t="s">
        <v>1299</v>
      </c>
      <c r="G510" t="s">
        <v>475</v>
      </c>
      <c r="H510" t="s">
        <v>10</v>
      </c>
      <c r="I510">
        <v>0</v>
      </c>
      <c r="J510" t="s">
        <v>1256</v>
      </c>
      <c r="K510" s="9">
        <v>1.529436</v>
      </c>
      <c r="L510" s="9">
        <v>-0.063416</v>
      </c>
      <c r="M510" s="9">
        <v>-0.098111</v>
      </c>
      <c r="N510" t="s">
        <v>14</v>
      </c>
      <c r="T510" s="7">
        <v>-4.15</v>
      </c>
      <c r="X510" s="10" t="s">
        <v>436</v>
      </c>
      <c r="Y510" s="11" t="s">
        <v>1332</v>
      </c>
      <c r="Z510" t="s">
        <v>430</v>
      </c>
    </row>
    <row r="511" spans="1:26">
      <c r="A511">
        <v>553</v>
      </c>
      <c r="B511" t="s">
        <v>1334</v>
      </c>
      <c r="C511" t="s">
        <v>1335</v>
      </c>
      <c r="D511" t="s">
        <v>1336</v>
      </c>
      <c r="E511" t="s">
        <v>1261</v>
      </c>
      <c r="F511" t="s">
        <v>1337</v>
      </c>
      <c r="G511" t="s">
        <v>50</v>
      </c>
      <c r="H511" t="s">
        <v>10</v>
      </c>
      <c r="I511">
        <v>0</v>
      </c>
      <c r="J511" t="s">
        <v>1338</v>
      </c>
      <c r="K511" s="9">
        <v>0.693641</v>
      </c>
      <c r="L511" s="9">
        <v>-0.095996</v>
      </c>
      <c r="M511" s="9">
        <v>-0.113033</v>
      </c>
      <c r="N511" t="s">
        <v>14</v>
      </c>
      <c r="O511" s="9">
        <v>-0.17</v>
      </c>
      <c r="S511" s="7">
        <v>47.13</v>
      </c>
      <c r="T511" s="7">
        <v>-13.84</v>
      </c>
      <c r="X511" s="10" t="s">
        <v>428</v>
      </c>
      <c r="Y511" s="11" t="s">
        <v>1339</v>
      </c>
      <c r="Z511" t="s">
        <v>430</v>
      </c>
    </row>
    <row r="512" spans="1:26">
      <c r="A512">
        <v>554</v>
      </c>
      <c r="B512" t="s">
        <v>1334</v>
      </c>
      <c r="C512" t="s">
        <v>1335</v>
      </c>
      <c r="D512" t="s">
        <v>1336</v>
      </c>
      <c r="E512" t="s">
        <v>1261</v>
      </c>
      <c r="F512" t="s">
        <v>1337</v>
      </c>
      <c r="G512" t="s">
        <v>57</v>
      </c>
      <c r="H512" t="s">
        <v>10</v>
      </c>
      <c r="I512">
        <v>0</v>
      </c>
      <c r="J512" t="s">
        <v>1340</v>
      </c>
      <c r="K512" s="9">
        <v>0.727297</v>
      </c>
      <c r="L512" s="9">
        <v>-0.151267</v>
      </c>
      <c r="M512" s="9">
        <v>-0.157893</v>
      </c>
      <c r="N512" t="s">
        <v>14</v>
      </c>
      <c r="O512" s="9">
        <v>-0.24</v>
      </c>
      <c r="S512" s="7">
        <v>49.4</v>
      </c>
      <c r="T512" s="7">
        <v>-20.8</v>
      </c>
      <c r="X512" s="10" t="s">
        <v>428</v>
      </c>
      <c r="Y512" s="11" t="s">
        <v>1341</v>
      </c>
      <c r="Z512" t="s">
        <v>430</v>
      </c>
    </row>
    <row r="513" spans="1:26">
      <c r="A513">
        <v>555</v>
      </c>
      <c r="B513" t="s">
        <v>1334</v>
      </c>
      <c r="C513" t="s">
        <v>1335</v>
      </c>
      <c r="D513" t="s">
        <v>1336</v>
      </c>
      <c r="E513" t="s">
        <v>1261</v>
      </c>
      <c r="F513" t="s">
        <v>1337</v>
      </c>
      <c r="G513" t="s">
        <v>62</v>
      </c>
      <c r="H513" t="s">
        <v>10</v>
      </c>
      <c r="I513">
        <v>0</v>
      </c>
      <c r="J513" t="s">
        <v>1342</v>
      </c>
      <c r="K513" s="9">
        <v>0.750143</v>
      </c>
      <c r="L513" s="9">
        <v>-0.009390000000000001</v>
      </c>
      <c r="M513" s="9">
        <v>-0.022908</v>
      </c>
      <c r="N513" t="s">
        <v>14</v>
      </c>
      <c r="O513" s="9">
        <v>-0.03</v>
      </c>
      <c r="S513" s="7">
        <v>50.8</v>
      </c>
      <c r="T513" s="7">
        <v>-1.25</v>
      </c>
      <c r="X513" s="10" t="s">
        <v>428</v>
      </c>
      <c r="Y513" s="11" t="s">
        <v>1343</v>
      </c>
      <c r="Z513" t="s">
        <v>430</v>
      </c>
    </row>
    <row r="514" spans="1:26">
      <c r="A514">
        <v>556</v>
      </c>
      <c r="B514" t="s">
        <v>1334</v>
      </c>
      <c r="C514" t="s">
        <v>1335</v>
      </c>
      <c r="D514" t="s">
        <v>1336</v>
      </c>
      <c r="E514" t="s">
        <v>1261</v>
      </c>
      <c r="F514" t="s">
        <v>1337</v>
      </c>
      <c r="G514" t="s">
        <v>71</v>
      </c>
      <c r="H514" t="s">
        <v>10</v>
      </c>
      <c r="I514">
        <v>0</v>
      </c>
      <c r="J514" t="s">
        <v>1344</v>
      </c>
      <c r="K514" s="9">
        <v>0.8323</v>
      </c>
      <c r="L514" s="9">
        <v>-0.0823</v>
      </c>
      <c r="M514" s="9">
        <v>-0.0882</v>
      </c>
      <c r="N514" t="s">
        <v>14</v>
      </c>
      <c r="O514" s="9">
        <v>-0.13</v>
      </c>
      <c r="S514" s="7">
        <v>50.25</v>
      </c>
      <c r="T514" s="7">
        <v>-9.890000000000001</v>
      </c>
      <c r="X514" s="10" t="s">
        <v>428</v>
      </c>
      <c r="Y514" s="11" t="s">
        <v>1345</v>
      </c>
      <c r="Z514" t="s">
        <v>430</v>
      </c>
    </row>
    <row r="515" spans="1:26">
      <c r="A515">
        <v>557</v>
      </c>
      <c r="B515" t="s">
        <v>1334</v>
      </c>
      <c r="C515" t="s">
        <v>1335</v>
      </c>
      <c r="D515" t="s">
        <v>1336</v>
      </c>
      <c r="E515" t="s">
        <v>1261</v>
      </c>
      <c r="F515" t="s">
        <v>1337</v>
      </c>
      <c r="G515" t="s">
        <v>75</v>
      </c>
      <c r="H515" t="s">
        <v>10</v>
      </c>
      <c r="I515">
        <v>0</v>
      </c>
      <c r="J515" t="s">
        <v>1346</v>
      </c>
      <c r="K515" s="9">
        <v>1.0759</v>
      </c>
      <c r="L515" s="9">
        <v>-0.2667</v>
      </c>
      <c r="M515" s="9">
        <v>-0.2764</v>
      </c>
      <c r="N515" t="s">
        <v>14</v>
      </c>
      <c r="O515" s="9">
        <v>-0.34</v>
      </c>
      <c r="S515" s="7">
        <v>34.56</v>
      </c>
      <c r="T515" s="7">
        <v>-24.79</v>
      </c>
      <c r="X515" s="10" t="s">
        <v>428</v>
      </c>
      <c r="Y515" s="11" t="s">
        <v>1347</v>
      </c>
      <c r="Z515" t="s">
        <v>430</v>
      </c>
    </row>
    <row r="516" spans="1:26">
      <c r="A516">
        <v>558</v>
      </c>
      <c r="B516" t="s">
        <v>1334</v>
      </c>
      <c r="C516" t="s">
        <v>1335</v>
      </c>
      <c r="D516" t="s">
        <v>1336</v>
      </c>
      <c r="E516" t="s">
        <v>1261</v>
      </c>
      <c r="F516" t="s">
        <v>1337</v>
      </c>
      <c r="G516" t="s">
        <v>80</v>
      </c>
      <c r="H516" t="s">
        <v>10</v>
      </c>
      <c r="I516">
        <v>0</v>
      </c>
      <c r="J516" t="s">
        <v>1348</v>
      </c>
      <c r="K516" s="9">
        <v>1.2112</v>
      </c>
      <c r="L516" s="9">
        <v>-0.0334</v>
      </c>
      <c r="M516" s="9">
        <v>-0.0626</v>
      </c>
      <c r="N516" t="s">
        <v>14</v>
      </c>
      <c r="O516" s="9">
        <v>-0.08</v>
      </c>
      <c r="S516" s="7">
        <v>48.53</v>
      </c>
      <c r="T516" s="7">
        <v>-2.76</v>
      </c>
      <c r="X516" s="10" t="s">
        <v>428</v>
      </c>
      <c r="Y516" s="11" t="s">
        <v>1349</v>
      </c>
      <c r="Z516" t="s">
        <v>430</v>
      </c>
    </row>
    <row r="517" spans="1:26">
      <c r="A517">
        <v>559</v>
      </c>
      <c r="B517" t="s">
        <v>1334</v>
      </c>
      <c r="C517" t="s">
        <v>1335</v>
      </c>
      <c r="D517" t="s">
        <v>1336</v>
      </c>
      <c r="E517" t="s">
        <v>1261</v>
      </c>
      <c r="F517" t="s">
        <v>1337</v>
      </c>
      <c r="G517" t="s">
        <v>85</v>
      </c>
      <c r="H517" t="s">
        <v>10</v>
      </c>
      <c r="I517">
        <v>0</v>
      </c>
      <c r="J517" t="s">
        <v>1350</v>
      </c>
      <c r="K517" s="9">
        <v>0.7978189999999999</v>
      </c>
      <c r="L517" s="9">
        <v>-0.001747</v>
      </c>
      <c r="M517" s="9">
        <v>0.016534</v>
      </c>
      <c r="N517" t="s">
        <v>14</v>
      </c>
      <c r="S517" s="7">
        <v>52.78</v>
      </c>
      <c r="T517" s="7">
        <v>-0.22</v>
      </c>
      <c r="X517" s="10" t="s">
        <v>483</v>
      </c>
      <c r="Y517" s="11" t="s">
        <v>1351</v>
      </c>
      <c r="Z517" t="s">
        <v>430</v>
      </c>
    </row>
    <row r="518" spans="1:26">
      <c r="A518">
        <v>560</v>
      </c>
      <c r="B518" t="s">
        <v>1334</v>
      </c>
      <c r="C518" t="s">
        <v>1335</v>
      </c>
      <c r="D518" t="s">
        <v>1336</v>
      </c>
      <c r="E518" t="s">
        <v>1261</v>
      </c>
      <c r="F518" t="s">
        <v>1337</v>
      </c>
      <c r="G518" t="s">
        <v>89</v>
      </c>
      <c r="H518" t="s">
        <v>10</v>
      </c>
      <c r="I518">
        <v>0</v>
      </c>
      <c r="J518" t="s">
        <v>787</v>
      </c>
      <c r="K518" s="9">
        <v>1.4469</v>
      </c>
      <c r="L518" s="9">
        <v>0.0698</v>
      </c>
      <c r="M518" s="9">
        <v>-0.1657</v>
      </c>
      <c r="N518" t="s">
        <v>14</v>
      </c>
      <c r="O518" s="9">
        <v>-0.2</v>
      </c>
      <c r="S518" s="7">
        <v>51.9</v>
      </c>
      <c r="T518" s="7">
        <v>4.82</v>
      </c>
      <c r="X518" s="10" t="s">
        <v>428</v>
      </c>
      <c r="Y518" s="11" t="s">
        <v>1352</v>
      </c>
      <c r="Z518" t="s">
        <v>430</v>
      </c>
    </row>
    <row r="519" spans="1:26">
      <c r="A519">
        <v>561</v>
      </c>
      <c r="B519" t="s">
        <v>1334</v>
      </c>
      <c r="C519" t="s">
        <v>1335</v>
      </c>
      <c r="D519" t="s">
        <v>1336</v>
      </c>
      <c r="E519" t="s">
        <v>1261</v>
      </c>
      <c r="F519" t="s">
        <v>1337</v>
      </c>
      <c r="G519" t="s">
        <v>93</v>
      </c>
      <c r="H519" t="s">
        <v>10</v>
      </c>
      <c r="I519">
        <v>0</v>
      </c>
      <c r="J519" t="s">
        <v>1353</v>
      </c>
      <c r="K519" s="9">
        <v>1.5169</v>
      </c>
      <c r="L519" s="9">
        <v>0.0391</v>
      </c>
      <c r="M519" s="9">
        <v>0.0043</v>
      </c>
      <c r="N519" t="s">
        <v>14</v>
      </c>
      <c r="O519" s="9">
        <v>0.01</v>
      </c>
      <c r="S519" s="7">
        <v>51.82</v>
      </c>
      <c r="T519" s="7">
        <v>2.58</v>
      </c>
      <c r="X519" s="10" t="s">
        <v>428</v>
      </c>
      <c r="Y519" s="11" t="s">
        <v>1354</v>
      </c>
      <c r="Z519" t="s">
        <v>430</v>
      </c>
    </row>
    <row r="520" spans="1:26">
      <c r="A520">
        <v>562</v>
      </c>
      <c r="B520" t="s">
        <v>1334</v>
      </c>
      <c r="C520" t="s">
        <v>1335</v>
      </c>
      <c r="D520" t="s">
        <v>1336</v>
      </c>
      <c r="E520" t="s">
        <v>1261</v>
      </c>
      <c r="F520" t="s">
        <v>1337</v>
      </c>
      <c r="G520" t="s">
        <v>98</v>
      </c>
      <c r="H520" t="s">
        <v>10</v>
      </c>
      <c r="I520">
        <v>0</v>
      </c>
      <c r="J520" t="s">
        <v>1355</v>
      </c>
      <c r="K520" s="9">
        <v>1.5373</v>
      </c>
      <c r="L520" s="9">
        <v>0.1058</v>
      </c>
      <c r="M520" s="9">
        <v>0.0133</v>
      </c>
      <c r="N520" t="s">
        <v>14</v>
      </c>
      <c r="O520" s="9">
        <v>0.02</v>
      </c>
      <c r="S520" s="7">
        <v>50.56</v>
      </c>
      <c r="T520" s="7">
        <v>6.88</v>
      </c>
      <c r="X520" s="10" t="s">
        <v>428</v>
      </c>
      <c r="Y520" s="11" t="s">
        <v>1356</v>
      </c>
      <c r="Z520" t="s">
        <v>430</v>
      </c>
    </row>
    <row r="521" spans="1:26">
      <c r="A521">
        <v>563</v>
      </c>
      <c r="B521" t="s">
        <v>1334</v>
      </c>
      <c r="C521" t="s">
        <v>1335</v>
      </c>
      <c r="D521" t="s">
        <v>1336</v>
      </c>
      <c r="E521" t="s">
        <v>1261</v>
      </c>
      <c r="F521" t="s">
        <v>1337</v>
      </c>
      <c r="G521" t="s">
        <v>103</v>
      </c>
      <c r="H521" t="s">
        <v>10</v>
      </c>
      <c r="I521">
        <v>0</v>
      </c>
      <c r="J521" t="s">
        <v>1357</v>
      </c>
      <c r="K521" s="9">
        <v>1.343</v>
      </c>
      <c r="L521" s="9">
        <v>0.0347</v>
      </c>
      <c r="M521" s="9">
        <v>0.0062</v>
      </c>
      <c r="N521" t="s">
        <v>14</v>
      </c>
      <c r="S521" s="7">
        <v>51.11</v>
      </c>
      <c r="T521" s="7">
        <v>2.58</v>
      </c>
      <c r="X521" s="10" t="s">
        <v>483</v>
      </c>
      <c r="Y521" s="11" t="s">
        <v>1358</v>
      </c>
      <c r="Z521" t="s">
        <v>430</v>
      </c>
    </row>
    <row r="522" spans="1:26">
      <c r="A522">
        <v>564</v>
      </c>
      <c r="B522" t="s">
        <v>1334</v>
      </c>
      <c r="C522" t="s">
        <v>1335</v>
      </c>
      <c r="D522" t="s">
        <v>1336</v>
      </c>
      <c r="E522" t="s">
        <v>1261</v>
      </c>
      <c r="F522" t="s">
        <v>1337</v>
      </c>
      <c r="G522" t="s">
        <v>107</v>
      </c>
      <c r="H522" t="s">
        <v>10</v>
      </c>
      <c r="I522">
        <v>0</v>
      </c>
      <c r="J522" t="s">
        <v>1359</v>
      </c>
      <c r="K522" s="9">
        <v>1.3217</v>
      </c>
      <c r="L522" s="9">
        <v>-0.1824</v>
      </c>
      <c r="M522" s="9">
        <v>-0.1689</v>
      </c>
      <c r="N522" t="s">
        <v>14</v>
      </c>
      <c r="O522" s="9">
        <v>-0.2</v>
      </c>
      <c r="S522" s="7">
        <v>42.16</v>
      </c>
      <c r="T522" s="7">
        <v>-13.8</v>
      </c>
      <c r="X522" s="10" t="s">
        <v>428</v>
      </c>
      <c r="Y522" s="11" t="s">
        <v>1360</v>
      </c>
      <c r="Z522" t="s">
        <v>430</v>
      </c>
    </row>
    <row r="523" spans="1:26">
      <c r="A523">
        <v>565</v>
      </c>
      <c r="B523" t="s">
        <v>1334</v>
      </c>
      <c r="C523" t="s">
        <v>1335</v>
      </c>
      <c r="D523" t="s">
        <v>1336</v>
      </c>
      <c r="E523" t="s">
        <v>1261</v>
      </c>
      <c r="F523" t="s">
        <v>1337</v>
      </c>
      <c r="G523" t="s">
        <v>112</v>
      </c>
      <c r="H523" t="s">
        <v>10</v>
      </c>
      <c r="I523">
        <v>0</v>
      </c>
      <c r="J523" t="s">
        <v>1361</v>
      </c>
      <c r="K523" s="9">
        <v>1.3409</v>
      </c>
      <c r="L523" s="9">
        <v>-0.2057</v>
      </c>
      <c r="M523" s="9">
        <v>-0.2075</v>
      </c>
      <c r="N523" t="s">
        <v>14</v>
      </c>
      <c r="O523" s="9">
        <v>-0.24</v>
      </c>
      <c r="S523" s="7">
        <v>38.86</v>
      </c>
      <c r="T523" s="7">
        <v>-15.34</v>
      </c>
      <c r="X523" s="10" t="s">
        <v>428</v>
      </c>
      <c r="Y523" s="11" t="s">
        <v>1362</v>
      </c>
      <c r="Z523" t="s">
        <v>430</v>
      </c>
    </row>
    <row r="524" spans="1:26">
      <c r="A524">
        <v>566</v>
      </c>
      <c r="B524" t="s">
        <v>1334</v>
      </c>
      <c r="C524" t="s">
        <v>1335</v>
      </c>
      <c r="D524" t="s">
        <v>1336</v>
      </c>
      <c r="E524" t="s">
        <v>1261</v>
      </c>
      <c r="F524" t="s">
        <v>1337</v>
      </c>
      <c r="G524" t="s">
        <v>116</v>
      </c>
      <c r="H524" t="s">
        <v>10</v>
      </c>
      <c r="I524">
        <v>0</v>
      </c>
      <c r="J524" t="s">
        <v>1363</v>
      </c>
      <c r="K524" s="9">
        <v>1.4186</v>
      </c>
      <c r="L524" s="9">
        <v>-0.1463</v>
      </c>
      <c r="M524" s="9">
        <v>-0.1643</v>
      </c>
      <c r="N524" t="s">
        <v>14</v>
      </c>
      <c r="O524" s="9">
        <v>-0.19</v>
      </c>
      <c r="S524" s="7">
        <v>38.86</v>
      </c>
      <c r="T524" s="7">
        <v>-10.31</v>
      </c>
      <c r="X524" s="10" t="s">
        <v>428</v>
      </c>
      <c r="Y524" s="11" t="s">
        <v>1364</v>
      </c>
      <c r="Z524" t="s">
        <v>430</v>
      </c>
    </row>
    <row r="525" spans="1:26">
      <c r="A525">
        <v>567</v>
      </c>
      <c r="B525" t="s">
        <v>1334</v>
      </c>
      <c r="C525" t="s">
        <v>1335</v>
      </c>
      <c r="D525" t="s">
        <v>1336</v>
      </c>
      <c r="E525" t="s">
        <v>1261</v>
      </c>
      <c r="F525" t="s">
        <v>1337</v>
      </c>
      <c r="G525" t="s">
        <v>120</v>
      </c>
      <c r="H525" t="s">
        <v>10</v>
      </c>
      <c r="I525">
        <v>0</v>
      </c>
      <c r="J525" t="s">
        <v>571</v>
      </c>
      <c r="K525" s="9">
        <v>1.4185</v>
      </c>
      <c r="L525" s="9">
        <v>0.0233</v>
      </c>
      <c r="M525" s="9">
        <v>-0.0154</v>
      </c>
      <c r="N525" t="s">
        <v>14</v>
      </c>
      <c r="S525" s="7">
        <v>47.47</v>
      </c>
      <c r="T525" s="7">
        <v>1.64</v>
      </c>
      <c r="X525" s="10" t="s">
        <v>483</v>
      </c>
      <c r="Y525" s="11" t="s">
        <v>1365</v>
      </c>
      <c r="Z525" t="s">
        <v>430</v>
      </c>
    </row>
    <row r="526" spans="1:26">
      <c r="A526">
        <v>568</v>
      </c>
      <c r="B526" t="s">
        <v>1334</v>
      </c>
      <c r="C526" t="s">
        <v>1335</v>
      </c>
      <c r="D526" t="s">
        <v>1336</v>
      </c>
      <c r="E526" t="s">
        <v>1261</v>
      </c>
      <c r="F526" t="s">
        <v>1337</v>
      </c>
      <c r="G526" t="s">
        <v>124</v>
      </c>
      <c r="H526" t="s">
        <v>10</v>
      </c>
      <c r="I526">
        <v>0</v>
      </c>
      <c r="J526" t="s">
        <v>1366</v>
      </c>
      <c r="K526" s="9">
        <v>1.1609</v>
      </c>
      <c r="L526" s="9">
        <v>-0.1523</v>
      </c>
      <c r="M526" s="9">
        <v>-0.2156</v>
      </c>
      <c r="N526" t="s">
        <v>14</v>
      </c>
      <c r="O526" s="9">
        <v>-0.25</v>
      </c>
      <c r="S526" s="7">
        <v>45.46</v>
      </c>
      <c r="T526" s="7">
        <v>-13.12</v>
      </c>
      <c r="X526" s="10" t="s">
        <v>428</v>
      </c>
      <c r="Y526" s="11" t="s">
        <v>1367</v>
      </c>
      <c r="Z526" t="s">
        <v>430</v>
      </c>
    </row>
    <row r="527" spans="1:26">
      <c r="A527">
        <v>569</v>
      </c>
      <c r="B527" t="s">
        <v>1334</v>
      </c>
      <c r="C527" t="s">
        <v>1335</v>
      </c>
      <c r="D527" t="s">
        <v>1336</v>
      </c>
      <c r="E527" t="s">
        <v>1261</v>
      </c>
      <c r="F527" t="s">
        <v>1337</v>
      </c>
      <c r="G527" t="s">
        <v>128</v>
      </c>
      <c r="H527" t="s">
        <v>10</v>
      </c>
      <c r="I527">
        <v>0</v>
      </c>
      <c r="J527" t="s">
        <v>1368</v>
      </c>
      <c r="K527" s="9">
        <v>1.2729</v>
      </c>
      <c r="L527" s="9">
        <v>-0.1004</v>
      </c>
      <c r="M527" s="9">
        <v>-0.1933</v>
      </c>
      <c r="N527" t="s">
        <v>14</v>
      </c>
      <c r="O527" s="9">
        <v>-0.22</v>
      </c>
      <c r="S527" s="7">
        <v>46.16</v>
      </c>
      <c r="T527" s="7">
        <v>-7.89</v>
      </c>
      <c r="X527" s="10" t="s">
        <v>428</v>
      </c>
      <c r="Y527" s="11" t="s">
        <v>1369</v>
      </c>
      <c r="Z527" t="s">
        <v>430</v>
      </c>
    </row>
    <row r="528" spans="1:26">
      <c r="A528">
        <v>570</v>
      </c>
      <c r="B528" t="s">
        <v>1334</v>
      </c>
      <c r="C528" t="s">
        <v>1335</v>
      </c>
      <c r="D528" t="s">
        <v>1336</v>
      </c>
      <c r="E528" t="s">
        <v>1261</v>
      </c>
      <c r="F528" t="s">
        <v>1337</v>
      </c>
      <c r="G528" t="s">
        <v>133</v>
      </c>
      <c r="H528" t="s">
        <v>10</v>
      </c>
      <c r="I528">
        <v>0</v>
      </c>
      <c r="J528" t="s">
        <v>1370</v>
      </c>
      <c r="K528" s="9">
        <v>1.5161</v>
      </c>
      <c r="L528" s="9">
        <v>-0.7028</v>
      </c>
      <c r="M528" s="9">
        <v>-0.6763</v>
      </c>
      <c r="N528" t="s">
        <v>14</v>
      </c>
      <c r="O528" s="9">
        <v>-0.78</v>
      </c>
      <c r="S528" s="7">
        <v>23.05</v>
      </c>
      <c r="T528" s="7">
        <v>-46.36</v>
      </c>
      <c r="X528" s="10" t="s">
        <v>428</v>
      </c>
      <c r="Y528" s="11" t="s">
        <v>1371</v>
      </c>
      <c r="Z528" t="s">
        <v>430</v>
      </c>
    </row>
    <row r="529" spans="1:26">
      <c r="A529">
        <v>571</v>
      </c>
      <c r="B529" t="s">
        <v>1334</v>
      </c>
      <c r="C529" t="s">
        <v>1335</v>
      </c>
      <c r="D529" t="s">
        <v>1336</v>
      </c>
      <c r="E529" t="s">
        <v>1261</v>
      </c>
      <c r="F529" t="s">
        <v>1337</v>
      </c>
      <c r="G529" t="s">
        <v>137</v>
      </c>
      <c r="H529" t="s">
        <v>10</v>
      </c>
      <c r="I529">
        <v>0</v>
      </c>
      <c r="J529" t="s">
        <v>473</v>
      </c>
      <c r="K529" s="9">
        <v>1.4265</v>
      </c>
      <c r="L529" s="9">
        <v>-0.0333</v>
      </c>
      <c r="M529" s="9">
        <v>-0.3927</v>
      </c>
      <c r="N529" t="s">
        <v>14</v>
      </c>
      <c r="S529" s="7">
        <v>46.55</v>
      </c>
      <c r="T529" s="7">
        <v>-2.33</v>
      </c>
      <c r="X529" s="10" t="s">
        <v>483</v>
      </c>
      <c r="Y529" s="11" t="s">
        <v>1372</v>
      </c>
      <c r="Z529" t="s">
        <v>430</v>
      </c>
    </row>
    <row r="530" spans="1:26">
      <c r="A530">
        <v>572</v>
      </c>
      <c r="B530" t="s">
        <v>1334</v>
      </c>
      <c r="C530" t="s">
        <v>1335</v>
      </c>
      <c r="D530" t="s">
        <v>1336</v>
      </c>
      <c r="E530" t="s">
        <v>1261</v>
      </c>
      <c r="F530" t="s">
        <v>1337</v>
      </c>
      <c r="G530" t="s">
        <v>141</v>
      </c>
      <c r="H530" t="s">
        <v>10</v>
      </c>
      <c r="I530">
        <v>0</v>
      </c>
      <c r="J530" t="s">
        <v>717</v>
      </c>
      <c r="K530" s="9">
        <v>1.8953</v>
      </c>
      <c r="L530" s="9">
        <v>0.2706</v>
      </c>
      <c r="M530" s="9">
        <v>0.1779</v>
      </c>
      <c r="N530" t="s">
        <v>14</v>
      </c>
      <c r="O530" s="9">
        <v>0.2</v>
      </c>
      <c r="S530" s="7">
        <v>50.25</v>
      </c>
      <c r="T530" s="7">
        <v>14.28</v>
      </c>
      <c r="X530" s="10" t="s">
        <v>428</v>
      </c>
      <c r="Y530" s="11" t="s">
        <v>1373</v>
      </c>
      <c r="Z530" t="s">
        <v>430</v>
      </c>
    </row>
    <row r="531" spans="1:26">
      <c r="A531">
        <v>573</v>
      </c>
      <c r="B531" t="s">
        <v>1334</v>
      </c>
      <c r="C531" t="s">
        <v>1335</v>
      </c>
      <c r="D531" t="s">
        <v>1336</v>
      </c>
      <c r="E531" t="s">
        <v>1261</v>
      </c>
      <c r="F531" t="s">
        <v>1337</v>
      </c>
      <c r="G531" t="s">
        <v>146</v>
      </c>
      <c r="H531" t="s">
        <v>10</v>
      </c>
      <c r="I531">
        <v>0</v>
      </c>
      <c r="J531" t="s">
        <v>1374</v>
      </c>
      <c r="K531" s="9">
        <v>2.0061</v>
      </c>
      <c r="L531" s="9">
        <v>0.2901</v>
      </c>
      <c r="M531" s="9">
        <v>0.1948</v>
      </c>
      <c r="N531" t="s">
        <v>14</v>
      </c>
      <c r="O531" s="9">
        <v>0.22</v>
      </c>
      <c r="S531" s="7">
        <v>50.38</v>
      </c>
      <c r="T531" s="7">
        <v>14.46</v>
      </c>
      <c r="X531" s="10" t="s">
        <v>428</v>
      </c>
      <c r="Y531" s="11" t="s">
        <v>1375</v>
      </c>
      <c r="Z531" t="s">
        <v>430</v>
      </c>
    </row>
    <row r="532" spans="1:26">
      <c r="A532">
        <v>574</v>
      </c>
      <c r="B532" t="s">
        <v>1334</v>
      </c>
      <c r="C532" t="s">
        <v>1335</v>
      </c>
      <c r="D532" t="s">
        <v>1336</v>
      </c>
      <c r="E532" t="s">
        <v>1261</v>
      </c>
      <c r="F532" t="s">
        <v>1337</v>
      </c>
      <c r="G532" t="s">
        <v>472</v>
      </c>
      <c r="H532" t="s">
        <v>10</v>
      </c>
      <c r="I532">
        <v>0</v>
      </c>
      <c r="J532" t="s">
        <v>1370</v>
      </c>
      <c r="K532" s="9">
        <v>2.0745</v>
      </c>
      <c r="L532" s="9">
        <v>0.3578</v>
      </c>
      <c r="M532" s="9">
        <v>1.9013</v>
      </c>
      <c r="N532" t="s">
        <v>14</v>
      </c>
      <c r="O532" s="9">
        <v>2.2</v>
      </c>
      <c r="S532" s="7">
        <v>51.57</v>
      </c>
      <c r="T532" s="7">
        <v>17.25</v>
      </c>
      <c r="X532" s="10" t="s">
        <v>428</v>
      </c>
      <c r="Y532" s="11" t="s">
        <v>1371</v>
      </c>
      <c r="Z532" t="s">
        <v>430</v>
      </c>
    </row>
    <row r="533" spans="1:26">
      <c r="A533">
        <v>575</v>
      </c>
      <c r="B533" t="s">
        <v>1334</v>
      </c>
      <c r="C533" t="s">
        <v>1335</v>
      </c>
      <c r="D533" t="s">
        <v>1336</v>
      </c>
      <c r="E533" t="s">
        <v>1261</v>
      </c>
      <c r="F533" t="s">
        <v>1337</v>
      </c>
      <c r="G533" t="s">
        <v>475</v>
      </c>
      <c r="H533" t="s">
        <v>10</v>
      </c>
      <c r="I533">
        <v>0</v>
      </c>
      <c r="J533" t="s">
        <v>473</v>
      </c>
      <c r="K533" s="9">
        <v>1.8174</v>
      </c>
      <c r="L533" s="9">
        <v>0.2352</v>
      </c>
      <c r="M533" s="9">
        <v>0.2002</v>
      </c>
      <c r="N533" t="s">
        <v>14</v>
      </c>
      <c r="S533" s="7">
        <v>50.48</v>
      </c>
      <c r="T533" s="7">
        <v>12.94</v>
      </c>
      <c r="X533" s="10" t="s">
        <v>483</v>
      </c>
      <c r="Y533" s="11" t="s">
        <v>1372</v>
      </c>
      <c r="Z533" t="s">
        <v>430</v>
      </c>
    </row>
    <row r="534" spans="1:26">
      <c r="A534">
        <v>576</v>
      </c>
      <c r="B534" t="s">
        <v>1334</v>
      </c>
      <c r="C534" t="s">
        <v>1335</v>
      </c>
      <c r="D534" t="s">
        <v>1336</v>
      </c>
      <c r="E534" t="s">
        <v>1261</v>
      </c>
      <c r="F534" t="s">
        <v>1337</v>
      </c>
      <c r="G534" t="s">
        <v>150</v>
      </c>
      <c r="H534" t="s">
        <v>10</v>
      </c>
      <c r="I534">
        <v>0</v>
      </c>
      <c r="J534" t="s">
        <v>717</v>
      </c>
      <c r="K534" s="9">
        <v>2.4178</v>
      </c>
      <c r="L534" s="9">
        <v>0.3394</v>
      </c>
      <c r="M534" s="9">
        <v>0.0345</v>
      </c>
      <c r="N534" t="s">
        <v>14</v>
      </c>
      <c r="O534" s="9">
        <v>0.04</v>
      </c>
      <c r="S534" s="7">
        <v>52.15</v>
      </c>
      <c r="T534" s="7">
        <v>14.04</v>
      </c>
      <c r="X534" s="10" t="s">
        <v>428</v>
      </c>
      <c r="Y534" s="11" t="s">
        <v>1373</v>
      </c>
      <c r="Z534" t="s">
        <v>430</v>
      </c>
    </row>
    <row r="535" spans="1:26">
      <c r="A535">
        <v>577</v>
      </c>
      <c r="B535" t="s">
        <v>1334</v>
      </c>
      <c r="C535" t="s">
        <v>1335</v>
      </c>
      <c r="D535" t="s">
        <v>1336</v>
      </c>
      <c r="E535" t="s">
        <v>1261</v>
      </c>
      <c r="F535" t="s">
        <v>1337</v>
      </c>
      <c r="G535" t="s">
        <v>155</v>
      </c>
      <c r="H535" t="s">
        <v>10</v>
      </c>
      <c r="I535">
        <v>0</v>
      </c>
      <c r="J535" t="s">
        <v>1374</v>
      </c>
      <c r="K535" s="9">
        <v>2.7393</v>
      </c>
      <c r="L535" s="9">
        <v>0.4597</v>
      </c>
      <c r="M535" s="9">
        <v>0.308</v>
      </c>
      <c r="N535" t="s">
        <v>14</v>
      </c>
      <c r="O535" s="9">
        <v>0.33</v>
      </c>
      <c r="S535" s="7">
        <v>53.14</v>
      </c>
      <c r="T535" s="7">
        <v>16.78</v>
      </c>
      <c r="X535" s="10" t="s">
        <v>428</v>
      </c>
      <c r="Y535" s="11" t="s">
        <v>1375</v>
      </c>
      <c r="Z535" t="s">
        <v>430</v>
      </c>
    </row>
    <row r="536" spans="1:26">
      <c r="A536">
        <v>438</v>
      </c>
      <c r="B536" t="s">
        <v>1376</v>
      </c>
      <c r="C536" t="s">
        <v>1377</v>
      </c>
      <c r="D536" t="s">
        <v>1378</v>
      </c>
      <c r="E536" t="s">
        <v>1379</v>
      </c>
      <c r="F536" t="s">
        <v>1380</v>
      </c>
      <c r="G536" t="s">
        <v>50</v>
      </c>
      <c r="H536" t="s">
        <v>10</v>
      </c>
      <c r="I536">
        <v>0</v>
      </c>
      <c r="J536" t="s">
        <v>825</v>
      </c>
      <c r="K536" s="9">
        <v>111.439</v>
      </c>
      <c r="L536" s="9">
        <v>33.534</v>
      </c>
      <c r="M536" s="9">
        <v>28.755</v>
      </c>
      <c r="N536" t="s">
        <v>14</v>
      </c>
      <c r="O536" s="9">
        <v>1.68</v>
      </c>
      <c r="S536" s="7">
        <v>39.78</v>
      </c>
      <c r="T536" s="7">
        <v>30.09</v>
      </c>
      <c r="X536" s="10" t="s">
        <v>428</v>
      </c>
      <c r="Y536" s="11" t="s">
        <v>1381</v>
      </c>
      <c r="Z536" t="s">
        <v>430</v>
      </c>
    </row>
    <row r="537" spans="1:26">
      <c r="A537">
        <v>439</v>
      </c>
      <c r="B537" t="s">
        <v>1376</v>
      </c>
      <c r="C537" t="s">
        <v>1377</v>
      </c>
      <c r="D537" t="s">
        <v>1378</v>
      </c>
      <c r="E537" t="s">
        <v>1379</v>
      </c>
      <c r="F537" t="s">
        <v>1380</v>
      </c>
      <c r="G537" t="s">
        <v>57</v>
      </c>
      <c r="H537" t="s">
        <v>10</v>
      </c>
      <c r="I537">
        <v>0</v>
      </c>
      <c r="J537" t="s">
        <v>72</v>
      </c>
      <c r="K537" s="9">
        <v>58.313</v>
      </c>
      <c r="L537" s="9">
        <v>12.853</v>
      </c>
      <c r="M537" s="9">
        <v>11.249</v>
      </c>
      <c r="N537" t="s">
        <v>14</v>
      </c>
      <c r="O537" s="9">
        <v>0.64</v>
      </c>
      <c r="S537" s="7">
        <v>38.36</v>
      </c>
      <c r="T537" s="7">
        <v>22.04</v>
      </c>
      <c r="X537" s="10" t="s">
        <v>428</v>
      </c>
      <c r="Y537" s="11" t="s">
        <v>1382</v>
      </c>
      <c r="Z537" t="s">
        <v>430</v>
      </c>
    </row>
    <row r="538" spans="1:26">
      <c r="A538">
        <v>440</v>
      </c>
      <c r="B538" t="s">
        <v>1376</v>
      </c>
      <c r="C538" t="s">
        <v>1377</v>
      </c>
      <c r="D538" t="s">
        <v>1378</v>
      </c>
      <c r="E538" t="s">
        <v>1379</v>
      </c>
      <c r="F538" t="s">
        <v>1380</v>
      </c>
      <c r="G538" t="s">
        <v>62</v>
      </c>
      <c r="H538" t="s">
        <v>10</v>
      </c>
      <c r="I538">
        <v>0</v>
      </c>
      <c r="J538" t="s">
        <v>276</v>
      </c>
      <c r="K538" s="9">
        <v>59.685</v>
      </c>
      <c r="L538" s="9">
        <v>13.091</v>
      </c>
      <c r="M538" s="9">
        <v>11.253</v>
      </c>
      <c r="N538" t="s">
        <v>14</v>
      </c>
      <c r="O538" s="9">
        <v>0.65</v>
      </c>
      <c r="S538" s="7">
        <v>38</v>
      </c>
      <c r="T538" s="7">
        <v>21.93</v>
      </c>
      <c r="X538" s="10" t="s">
        <v>428</v>
      </c>
      <c r="Y538" s="11" t="s">
        <v>1383</v>
      </c>
      <c r="Z538" t="s">
        <v>430</v>
      </c>
    </row>
    <row r="539" spans="1:26">
      <c r="A539">
        <v>441</v>
      </c>
      <c r="B539" t="s">
        <v>1376</v>
      </c>
      <c r="C539" t="s">
        <v>1377</v>
      </c>
      <c r="D539" t="s">
        <v>1378</v>
      </c>
      <c r="E539" t="s">
        <v>1379</v>
      </c>
      <c r="F539" t="s">
        <v>1380</v>
      </c>
      <c r="G539" t="s">
        <v>66</v>
      </c>
      <c r="H539" t="s">
        <v>10</v>
      </c>
      <c r="I539">
        <v>0</v>
      </c>
      <c r="J539" t="s">
        <v>597</v>
      </c>
      <c r="K539" s="9">
        <v>64.69799999999999</v>
      </c>
      <c r="L539" s="9">
        <v>14.775</v>
      </c>
      <c r="M539" s="9">
        <v>12.673</v>
      </c>
      <c r="N539" t="s">
        <v>14</v>
      </c>
      <c r="S539" s="7">
        <v>38.16</v>
      </c>
      <c r="T539" s="7">
        <v>22.84</v>
      </c>
      <c r="X539" s="10" t="s">
        <v>483</v>
      </c>
      <c r="Y539" s="11" t="s">
        <v>1384</v>
      </c>
      <c r="Z539" t="s">
        <v>430</v>
      </c>
    </row>
    <row r="540" spans="1:26">
      <c r="A540">
        <v>442</v>
      </c>
      <c r="B540" t="s">
        <v>1376</v>
      </c>
      <c r="C540" t="s">
        <v>1377</v>
      </c>
      <c r="D540" t="s">
        <v>1378</v>
      </c>
      <c r="E540" t="s">
        <v>1379</v>
      </c>
      <c r="F540" t="s">
        <v>1380</v>
      </c>
      <c r="G540" t="s">
        <v>71</v>
      </c>
      <c r="H540" t="s">
        <v>10</v>
      </c>
      <c r="I540">
        <v>0</v>
      </c>
      <c r="J540" t="s">
        <v>1234</v>
      </c>
      <c r="K540" s="9">
        <v>123.945</v>
      </c>
      <c r="L540" s="9">
        <v>41.488</v>
      </c>
      <c r="M540" s="9">
        <v>34.63</v>
      </c>
      <c r="N540" t="s">
        <v>14</v>
      </c>
      <c r="O540" s="9">
        <v>2.1</v>
      </c>
      <c r="S540" s="7">
        <v>43.76</v>
      </c>
      <c r="T540" s="7">
        <v>33.47</v>
      </c>
      <c r="X540" s="10" t="s">
        <v>428</v>
      </c>
      <c r="Y540" s="11" t="s">
        <v>1385</v>
      </c>
      <c r="Z540" t="s">
        <v>430</v>
      </c>
    </row>
    <row r="541" spans="1:26">
      <c r="A541">
        <v>443</v>
      </c>
      <c r="B541" t="s">
        <v>1376</v>
      </c>
      <c r="C541" t="s">
        <v>1377</v>
      </c>
      <c r="D541" t="s">
        <v>1378</v>
      </c>
      <c r="E541" t="s">
        <v>1379</v>
      </c>
      <c r="F541" t="s">
        <v>1380</v>
      </c>
      <c r="G541" t="s">
        <v>75</v>
      </c>
      <c r="H541" t="s">
        <v>10</v>
      </c>
      <c r="I541">
        <v>0</v>
      </c>
      <c r="J541" t="s">
        <v>593</v>
      </c>
      <c r="K541" s="9">
        <v>89.584</v>
      </c>
      <c r="L541" s="9">
        <v>27.503</v>
      </c>
      <c r="M541" s="9">
        <v>23.63</v>
      </c>
      <c r="N541" t="s">
        <v>14</v>
      </c>
      <c r="O541" s="9">
        <v>1.4</v>
      </c>
      <c r="S541" s="7">
        <v>42.51</v>
      </c>
      <c r="T541" s="7">
        <v>30.7</v>
      </c>
      <c r="X541" s="10" t="s">
        <v>428</v>
      </c>
      <c r="Y541" s="11" t="s">
        <v>1386</v>
      </c>
      <c r="Z541" t="s">
        <v>430</v>
      </c>
    </row>
    <row r="542" spans="1:26">
      <c r="A542">
        <v>444</v>
      </c>
      <c r="B542" t="s">
        <v>1376</v>
      </c>
      <c r="C542" t="s">
        <v>1377</v>
      </c>
      <c r="D542" t="s">
        <v>1378</v>
      </c>
      <c r="E542" t="s">
        <v>1379</v>
      </c>
      <c r="F542" t="s">
        <v>1380</v>
      </c>
      <c r="G542" t="s">
        <v>80</v>
      </c>
      <c r="H542" t="s">
        <v>10</v>
      </c>
      <c r="I542">
        <v>0</v>
      </c>
      <c r="J542" t="s">
        <v>595</v>
      </c>
      <c r="K542" s="9">
        <v>81.434</v>
      </c>
      <c r="L542" s="9">
        <v>24.126</v>
      </c>
      <c r="M542" s="9">
        <v>21.744</v>
      </c>
      <c r="N542" t="s">
        <v>14</v>
      </c>
      <c r="O542" s="9">
        <v>1.3</v>
      </c>
      <c r="S542" s="7">
        <v>43.29</v>
      </c>
      <c r="T542" s="7">
        <v>29.63</v>
      </c>
      <c r="X542" s="10" t="s">
        <v>428</v>
      </c>
      <c r="Y542" s="11" t="s">
        <v>1387</v>
      </c>
      <c r="Z542" t="s">
        <v>430</v>
      </c>
    </row>
    <row r="543" spans="1:26">
      <c r="A543">
        <v>445</v>
      </c>
      <c r="B543" t="s">
        <v>1376</v>
      </c>
      <c r="C543" t="s">
        <v>1377</v>
      </c>
      <c r="D543" t="s">
        <v>1378</v>
      </c>
      <c r="E543" t="s">
        <v>1379</v>
      </c>
      <c r="F543" t="s">
        <v>1380</v>
      </c>
      <c r="G543" t="s">
        <v>85</v>
      </c>
      <c r="H543" t="s">
        <v>10</v>
      </c>
      <c r="I543">
        <v>0</v>
      </c>
      <c r="J543" t="s">
        <v>1388</v>
      </c>
      <c r="K543" s="9">
        <v>83.36</v>
      </c>
      <c r="L543" s="9">
        <v>23.786</v>
      </c>
      <c r="M543" s="9">
        <v>20.551</v>
      </c>
      <c r="N543" t="s">
        <v>14</v>
      </c>
      <c r="S543" s="7">
        <v>42.2</v>
      </c>
      <c r="T543" s="7">
        <v>28.53</v>
      </c>
      <c r="X543" s="10" t="s">
        <v>483</v>
      </c>
      <c r="Y543" s="11" t="s">
        <v>1389</v>
      </c>
      <c r="Z543" t="s">
        <v>430</v>
      </c>
    </row>
    <row r="544" spans="1:26">
      <c r="A544">
        <v>446</v>
      </c>
      <c r="B544" t="s">
        <v>1376</v>
      </c>
      <c r="C544" t="s">
        <v>1377</v>
      </c>
      <c r="D544" t="s">
        <v>1378</v>
      </c>
      <c r="E544" t="s">
        <v>1379</v>
      </c>
      <c r="F544" t="s">
        <v>1380</v>
      </c>
      <c r="G544" t="s">
        <v>89</v>
      </c>
      <c r="H544" t="s">
        <v>10</v>
      </c>
      <c r="I544">
        <v>0</v>
      </c>
      <c r="J544" t="s">
        <v>1390</v>
      </c>
      <c r="K544" s="9">
        <v>117.154</v>
      </c>
      <c r="L544" s="9">
        <v>36.016</v>
      </c>
      <c r="M544" s="9">
        <v>29.998</v>
      </c>
      <c r="N544" t="s">
        <v>14</v>
      </c>
      <c r="O544" s="9">
        <v>1.88</v>
      </c>
      <c r="S544" s="7">
        <v>42.96</v>
      </c>
      <c r="T544" s="7">
        <v>30.74</v>
      </c>
      <c r="X544" s="10" t="s">
        <v>428</v>
      </c>
      <c r="Y544" s="11" t="s">
        <v>1391</v>
      </c>
      <c r="Z544" t="s">
        <v>430</v>
      </c>
    </row>
    <row r="545" spans="1:26">
      <c r="A545">
        <v>447</v>
      </c>
      <c r="B545" t="s">
        <v>1376</v>
      </c>
      <c r="C545" t="s">
        <v>1377</v>
      </c>
      <c r="D545" t="s">
        <v>1378</v>
      </c>
      <c r="E545" t="s">
        <v>1379</v>
      </c>
      <c r="F545" t="s">
        <v>1380</v>
      </c>
      <c r="G545" t="s">
        <v>93</v>
      </c>
      <c r="H545" t="s">
        <v>10</v>
      </c>
      <c r="I545">
        <v>0</v>
      </c>
      <c r="J545" t="s">
        <v>1392</v>
      </c>
      <c r="K545" s="9">
        <v>97.27800000000001</v>
      </c>
      <c r="L545" s="9">
        <v>29.979</v>
      </c>
      <c r="M545" s="9">
        <v>25.01</v>
      </c>
      <c r="N545" t="s">
        <v>14</v>
      </c>
      <c r="O545" s="9">
        <v>1.52</v>
      </c>
      <c r="S545" s="7">
        <v>43.75</v>
      </c>
      <c r="T545" s="7">
        <v>30.82</v>
      </c>
      <c r="X545" s="10" t="s">
        <v>428</v>
      </c>
      <c r="Y545" s="11" t="s">
        <v>1393</v>
      </c>
      <c r="Z545" t="s">
        <v>430</v>
      </c>
    </row>
    <row r="546" spans="1:26">
      <c r="A546">
        <v>448</v>
      </c>
      <c r="B546" t="s">
        <v>1376</v>
      </c>
      <c r="C546" t="s">
        <v>1377</v>
      </c>
      <c r="D546" t="s">
        <v>1378</v>
      </c>
      <c r="E546" t="s">
        <v>1379</v>
      </c>
      <c r="F546" t="s">
        <v>1380</v>
      </c>
      <c r="G546" t="s">
        <v>98</v>
      </c>
      <c r="H546" t="s">
        <v>10</v>
      </c>
      <c r="I546">
        <v>0</v>
      </c>
      <c r="J546" t="s">
        <v>834</v>
      </c>
      <c r="K546" s="9">
        <v>82.959</v>
      </c>
      <c r="L546" s="9">
        <v>23.076</v>
      </c>
      <c r="M546" s="9">
        <v>19.442</v>
      </c>
      <c r="N546" t="s">
        <v>14</v>
      </c>
      <c r="O546" s="9">
        <v>1.2</v>
      </c>
      <c r="S546" s="7">
        <v>43.26</v>
      </c>
      <c r="T546" s="7">
        <v>27.82</v>
      </c>
      <c r="X546" s="10" t="s">
        <v>428</v>
      </c>
      <c r="Y546" s="11" t="s">
        <v>1394</v>
      </c>
      <c r="Z546" t="s">
        <v>430</v>
      </c>
    </row>
    <row r="547" spans="1:26">
      <c r="A547">
        <v>449</v>
      </c>
      <c r="B547" t="s">
        <v>1376</v>
      </c>
      <c r="C547" t="s">
        <v>1377</v>
      </c>
      <c r="D547" t="s">
        <v>1378</v>
      </c>
      <c r="E547" t="s">
        <v>1379</v>
      </c>
      <c r="F547" t="s">
        <v>1380</v>
      </c>
      <c r="G547" t="s">
        <v>103</v>
      </c>
      <c r="H547" t="s">
        <v>10</v>
      </c>
      <c r="I547">
        <v>0</v>
      </c>
      <c r="J547" t="s">
        <v>613</v>
      </c>
      <c r="K547" s="9">
        <v>90.146</v>
      </c>
      <c r="L547" s="9">
        <v>24.894</v>
      </c>
      <c r="M547" s="9">
        <v>20.721</v>
      </c>
      <c r="N547" t="s">
        <v>14</v>
      </c>
      <c r="S547" s="7">
        <v>42.26</v>
      </c>
      <c r="T547" s="7">
        <v>27.62</v>
      </c>
      <c r="X547" s="10" t="s">
        <v>483</v>
      </c>
      <c r="Y547" s="11" t="s">
        <v>1395</v>
      </c>
      <c r="Z547" t="s">
        <v>430</v>
      </c>
    </row>
    <row r="548" spans="1:26">
      <c r="A548">
        <v>450</v>
      </c>
      <c r="B548" t="s">
        <v>1376</v>
      </c>
      <c r="C548" t="s">
        <v>1377</v>
      </c>
      <c r="D548" t="s">
        <v>1378</v>
      </c>
      <c r="E548" t="s">
        <v>1379</v>
      </c>
      <c r="F548" t="s">
        <v>1380</v>
      </c>
      <c r="G548" t="s">
        <v>107</v>
      </c>
      <c r="H548" t="s">
        <v>10</v>
      </c>
      <c r="I548">
        <v>0</v>
      </c>
      <c r="J548" t="s">
        <v>607</v>
      </c>
      <c r="K548" s="9">
        <v>119.575</v>
      </c>
      <c r="L548" s="9">
        <v>40.373</v>
      </c>
      <c r="M548" s="9">
        <v>33.916</v>
      </c>
      <c r="N548" t="s">
        <v>14</v>
      </c>
      <c r="O548" s="9">
        <v>2.18</v>
      </c>
      <c r="S548" s="7">
        <v>45.87</v>
      </c>
      <c r="T548" s="7">
        <v>33.76</v>
      </c>
      <c r="X548" s="10" t="s">
        <v>428</v>
      </c>
      <c r="Y548" s="11" t="s">
        <v>1396</v>
      </c>
      <c r="Z548" t="s">
        <v>430</v>
      </c>
    </row>
    <row r="549" spans="1:26">
      <c r="A549">
        <v>451</v>
      </c>
      <c r="B549" t="s">
        <v>1376</v>
      </c>
      <c r="C549" t="s">
        <v>1377</v>
      </c>
      <c r="D549" t="s">
        <v>1378</v>
      </c>
      <c r="E549" t="s">
        <v>1379</v>
      </c>
      <c r="F549" t="s">
        <v>1380</v>
      </c>
      <c r="G549" t="s">
        <v>112</v>
      </c>
      <c r="H549" t="s">
        <v>10</v>
      </c>
      <c r="I549">
        <v>0</v>
      </c>
      <c r="J549" t="s">
        <v>1397</v>
      </c>
      <c r="K549" s="9">
        <v>94.836</v>
      </c>
      <c r="L549" s="9">
        <v>28.318</v>
      </c>
      <c r="M549" s="9">
        <v>24.16</v>
      </c>
      <c r="N549" t="s">
        <v>14</v>
      </c>
      <c r="O549" s="9">
        <v>1.52</v>
      </c>
      <c r="S549" s="7">
        <v>44.26</v>
      </c>
      <c r="T549" s="7">
        <v>29.86</v>
      </c>
      <c r="X549" s="10" t="s">
        <v>428</v>
      </c>
      <c r="Y549" s="11" t="s">
        <v>1398</v>
      </c>
      <c r="Z549" t="s">
        <v>430</v>
      </c>
    </row>
    <row r="550" spans="1:26">
      <c r="A550">
        <v>452</v>
      </c>
      <c r="B550" t="s">
        <v>1376</v>
      </c>
      <c r="C550" t="s">
        <v>1377</v>
      </c>
      <c r="D550" t="s">
        <v>1378</v>
      </c>
      <c r="E550" t="s">
        <v>1379</v>
      </c>
      <c r="F550" t="s">
        <v>1380</v>
      </c>
      <c r="G550" t="s">
        <v>116</v>
      </c>
      <c r="H550" t="s">
        <v>10</v>
      </c>
      <c r="I550">
        <v>0</v>
      </c>
      <c r="J550" t="s">
        <v>611</v>
      </c>
      <c r="K550" s="9">
        <v>81.797</v>
      </c>
      <c r="L550" s="9">
        <v>22.998</v>
      </c>
      <c r="M550" s="9">
        <v>19.881</v>
      </c>
      <c r="N550" t="s">
        <v>14</v>
      </c>
      <c r="O550" s="9">
        <v>1.26</v>
      </c>
      <c r="S550" s="7">
        <v>44.52</v>
      </c>
      <c r="T550" s="7">
        <v>28.12</v>
      </c>
      <c r="X550" s="10" t="s">
        <v>428</v>
      </c>
      <c r="Y550" s="11" t="s">
        <v>1399</v>
      </c>
      <c r="Z550" t="s">
        <v>430</v>
      </c>
    </row>
    <row r="551" spans="1:26">
      <c r="A551">
        <v>453</v>
      </c>
      <c r="B551" t="s">
        <v>1376</v>
      </c>
      <c r="C551" t="s">
        <v>1377</v>
      </c>
      <c r="D551" t="s">
        <v>1378</v>
      </c>
      <c r="E551" t="s">
        <v>1379</v>
      </c>
      <c r="F551" t="s">
        <v>1380</v>
      </c>
      <c r="G551" t="s">
        <v>120</v>
      </c>
      <c r="H551" t="s">
        <v>10</v>
      </c>
      <c r="I551">
        <v>0</v>
      </c>
      <c r="J551" t="s">
        <v>846</v>
      </c>
      <c r="K551" s="9">
        <v>89.498</v>
      </c>
      <c r="L551" s="9">
        <v>26.969</v>
      </c>
      <c r="M551" s="9">
        <v>22.956</v>
      </c>
      <c r="N551" t="s">
        <v>14</v>
      </c>
      <c r="S551" s="7">
        <v>45.17</v>
      </c>
      <c r="T551" s="7">
        <v>30.13</v>
      </c>
      <c r="X551" s="10" t="s">
        <v>483</v>
      </c>
      <c r="Y551" s="11" t="s">
        <v>1400</v>
      </c>
      <c r="Z551" t="s">
        <v>430</v>
      </c>
    </row>
    <row r="552" spans="1:26">
      <c r="A552">
        <v>454</v>
      </c>
      <c r="B552" t="s">
        <v>1376</v>
      </c>
      <c r="C552" t="s">
        <v>1377</v>
      </c>
      <c r="D552" t="s">
        <v>1378</v>
      </c>
      <c r="E552" t="s">
        <v>1379</v>
      </c>
      <c r="F552" t="s">
        <v>1380</v>
      </c>
      <c r="G552" t="s">
        <v>124</v>
      </c>
      <c r="H552" t="s">
        <v>10</v>
      </c>
      <c r="I552">
        <v>0</v>
      </c>
      <c r="J552" t="s">
        <v>848</v>
      </c>
      <c r="K552" s="9">
        <v>124.3</v>
      </c>
      <c r="L552" s="9">
        <v>42.832</v>
      </c>
      <c r="M552" s="9">
        <v>36.33</v>
      </c>
      <c r="N552" t="s">
        <v>14</v>
      </c>
      <c r="O552" s="9">
        <v>2.4</v>
      </c>
      <c r="S552" s="7">
        <v>46.88</v>
      </c>
      <c r="T552" s="7">
        <v>34.46</v>
      </c>
      <c r="X552" s="10" t="s">
        <v>428</v>
      </c>
      <c r="Y552" s="11" t="s">
        <v>1401</v>
      </c>
      <c r="Z552" t="s">
        <v>430</v>
      </c>
    </row>
    <row r="553" spans="1:26">
      <c r="A553">
        <v>455</v>
      </c>
      <c r="B553" t="s">
        <v>1376</v>
      </c>
      <c r="C553" t="s">
        <v>1377</v>
      </c>
      <c r="D553" t="s">
        <v>1378</v>
      </c>
      <c r="E553" t="s">
        <v>1379</v>
      </c>
      <c r="F553" t="s">
        <v>1380</v>
      </c>
      <c r="G553" t="s">
        <v>128</v>
      </c>
      <c r="H553" t="s">
        <v>10</v>
      </c>
      <c r="I553">
        <v>0</v>
      </c>
      <c r="J553" t="s">
        <v>1252</v>
      </c>
      <c r="K553" s="9">
        <v>90.753</v>
      </c>
      <c r="L553" s="9">
        <v>27.9</v>
      </c>
      <c r="M553" s="9">
        <v>23.636</v>
      </c>
      <c r="N553" t="s">
        <v>14</v>
      </c>
      <c r="O553" s="9">
        <v>1.53</v>
      </c>
      <c r="S553" s="7">
        <v>46.58</v>
      </c>
      <c r="T553" s="7">
        <v>30.74</v>
      </c>
      <c r="X553" s="10" t="s">
        <v>428</v>
      </c>
      <c r="Y553" s="11" t="s">
        <v>1402</v>
      </c>
      <c r="Z553" t="s">
        <v>430</v>
      </c>
    </row>
    <row r="554" spans="1:26">
      <c r="A554">
        <v>456</v>
      </c>
      <c r="B554" t="s">
        <v>1376</v>
      </c>
      <c r="C554" t="s">
        <v>1377</v>
      </c>
      <c r="D554" t="s">
        <v>1378</v>
      </c>
      <c r="E554" t="s">
        <v>1379</v>
      </c>
      <c r="F554" t="s">
        <v>1380</v>
      </c>
      <c r="G554" t="s">
        <v>133</v>
      </c>
      <c r="H554" t="s">
        <v>10</v>
      </c>
      <c r="I554">
        <v>0</v>
      </c>
      <c r="J554" t="s">
        <v>1403</v>
      </c>
      <c r="K554" s="9">
        <v>85.777</v>
      </c>
      <c r="L554" s="9">
        <v>25.352</v>
      </c>
      <c r="M554" s="9">
        <v>21.448</v>
      </c>
      <c r="N554" t="s">
        <v>14</v>
      </c>
      <c r="O554" s="9">
        <v>1.4</v>
      </c>
      <c r="S554" s="7">
        <v>46.26</v>
      </c>
      <c r="T554" s="7">
        <v>29.56</v>
      </c>
      <c r="X554" s="10" t="s">
        <v>428</v>
      </c>
      <c r="Y554" s="11" t="s">
        <v>1404</v>
      </c>
      <c r="Z554" t="s">
        <v>430</v>
      </c>
    </row>
    <row r="555" spans="1:26">
      <c r="A555">
        <v>457</v>
      </c>
      <c r="B555" t="s">
        <v>1376</v>
      </c>
      <c r="C555" t="s">
        <v>1377</v>
      </c>
      <c r="D555" t="s">
        <v>1378</v>
      </c>
      <c r="E555" t="s">
        <v>1379</v>
      </c>
      <c r="F555" t="s">
        <v>1380</v>
      </c>
      <c r="G555" t="s">
        <v>137</v>
      </c>
      <c r="H555" t="s">
        <v>10</v>
      </c>
      <c r="I555">
        <v>0</v>
      </c>
      <c r="J555" t="s">
        <v>846</v>
      </c>
      <c r="K555" s="9">
        <v>94.93000000000001</v>
      </c>
      <c r="L555" s="9">
        <v>29.591</v>
      </c>
      <c r="M555" s="9">
        <v>14.736</v>
      </c>
      <c r="N555" t="s">
        <v>14</v>
      </c>
      <c r="S555" s="7">
        <v>46.22</v>
      </c>
      <c r="T555" s="7">
        <v>31.17</v>
      </c>
      <c r="X555" s="10" t="s">
        <v>483</v>
      </c>
      <c r="Y555" s="11" t="s">
        <v>1400</v>
      </c>
      <c r="Z555" t="s">
        <v>430</v>
      </c>
    </row>
    <row r="556" spans="1:26">
      <c r="A556">
        <v>458</v>
      </c>
      <c r="B556" t="s">
        <v>1376</v>
      </c>
      <c r="C556" t="s">
        <v>1377</v>
      </c>
      <c r="D556" t="s">
        <v>1378</v>
      </c>
      <c r="E556" t="s">
        <v>1379</v>
      </c>
      <c r="F556" t="s">
        <v>1380</v>
      </c>
      <c r="G556" t="s">
        <v>141</v>
      </c>
      <c r="H556" t="s">
        <v>10</v>
      </c>
      <c r="I556">
        <v>0</v>
      </c>
      <c r="J556" t="s">
        <v>848</v>
      </c>
      <c r="K556" s="9">
        <v>143.756</v>
      </c>
      <c r="L556" s="9">
        <v>50.852</v>
      </c>
      <c r="M556" s="9">
        <v>42.097</v>
      </c>
      <c r="N556" t="s">
        <v>14</v>
      </c>
      <c r="O556" s="9">
        <v>2.84</v>
      </c>
      <c r="S556" s="7">
        <v>48.16</v>
      </c>
      <c r="T556" s="7">
        <v>35.37</v>
      </c>
      <c r="X556" s="10" t="s">
        <v>428</v>
      </c>
      <c r="Y556" s="11" t="s">
        <v>1401</v>
      </c>
      <c r="Z556" t="s">
        <v>430</v>
      </c>
    </row>
    <row r="557" spans="1:26">
      <c r="A557">
        <v>459</v>
      </c>
      <c r="B557" t="s">
        <v>1376</v>
      </c>
      <c r="C557" t="s">
        <v>1377</v>
      </c>
      <c r="D557" t="s">
        <v>1378</v>
      </c>
      <c r="E557" t="s">
        <v>1379</v>
      </c>
      <c r="F557" t="s">
        <v>1380</v>
      </c>
      <c r="G557" t="s">
        <v>146</v>
      </c>
      <c r="H557" t="s">
        <v>10</v>
      </c>
      <c r="I557">
        <v>0</v>
      </c>
      <c r="J557" t="s">
        <v>1254</v>
      </c>
      <c r="K557" s="9">
        <v>95.35899999999999</v>
      </c>
      <c r="L557" s="9">
        <v>29.589</v>
      </c>
      <c r="M557" s="9">
        <v>24.78</v>
      </c>
      <c r="N557" t="s">
        <v>14</v>
      </c>
      <c r="O557" s="9">
        <v>1.65</v>
      </c>
      <c r="S557" s="7">
        <v>47.05</v>
      </c>
      <c r="T557" s="7">
        <v>31.03</v>
      </c>
      <c r="X557" s="10" t="s">
        <v>428</v>
      </c>
      <c r="Y557" s="11" t="s">
        <v>1405</v>
      </c>
      <c r="Z557" t="s">
        <v>430</v>
      </c>
    </row>
    <row r="558" spans="1:26">
      <c r="A558">
        <v>460</v>
      </c>
      <c r="B558" t="s">
        <v>1376</v>
      </c>
      <c r="C558" t="s">
        <v>1377</v>
      </c>
      <c r="D558" t="s">
        <v>1378</v>
      </c>
      <c r="E558" t="s">
        <v>1379</v>
      </c>
      <c r="F558" t="s">
        <v>1380</v>
      </c>
      <c r="G558" t="s">
        <v>472</v>
      </c>
      <c r="H558" t="s">
        <v>10</v>
      </c>
      <c r="I558">
        <v>0</v>
      </c>
      <c r="J558" t="s">
        <v>156</v>
      </c>
      <c r="K558" s="9">
        <v>94.036</v>
      </c>
      <c r="L558" s="9">
        <v>28.202</v>
      </c>
      <c r="M558" s="9">
        <v>23.434</v>
      </c>
      <c r="N558" t="s">
        <v>14</v>
      </c>
      <c r="O558" s="9">
        <v>1.57</v>
      </c>
      <c r="S558" s="7">
        <v>46.49</v>
      </c>
      <c r="T558" s="7">
        <v>29.99</v>
      </c>
      <c r="X558" s="10" t="s">
        <v>428</v>
      </c>
      <c r="Y558" s="11" t="s">
        <v>1406</v>
      </c>
      <c r="Z558" t="s">
        <v>430</v>
      </c>
    </row>
    <row r="559" spans="1:26">
      <c r="A559">
        <v>461</v>
      </c>
      <c r="B559" t="s">
        <v>1376</v>
      </c>
      <c r="C559" t="s">
        <v>1377</v>
      </c>
      <c r="D559" t="s">
        <v>1378</v>
      </c>
      <c r="E559" t="s">
        <v>1379</v>
      </c>
      <c r="F559" t="s">
        <v>1380</v>
      </c>
      <c r="G559" t="s">
        <v>475</v>
      </c>
      <c r="H559" t="s">
        <v>10</v>
      </c>
      <c r="I559">
        <v>0</v>
      </c>
      <c r="J559" t="s">
        <v>846</v>
      </c>
      <c r="K559" s="9">
        <v>102.466</v>
      </c>
      <c r="L559" s="9">
        <v>32.427</v>
      </c>
      <c r="M559" s="9">
        <v>27.466</v>
      </c>
      <c r="N559" t="s">
        <v>14</v>
      </c>
      <c r="S559" s="7">
        <v>47.18</v>
      </c>
      <c r="T559" s="7">
        <v>31.65</v>
      </c>
      <c r="X559" s="10" t="s">
        <v>483</v>
      </c>
      <c r="Y559" s="11" t="s">
        <v>1400</v>
      </c>
      <c r="Z559" t="s">
        <v>430</v>
      </c>
    </row>
    <row r="560" spans="1:26">
      <c r="A560">
        <v>462</v>
      </c>
      <c r="B560" t="s">
        <v>1376</v>
      </c>
      <c r="C560" t="s">
        <v>1377</v>
      </c>
      <c r="D560" t="s">
        <v>1378</v>
      </c>
      <c r="E560" t="s">
        <v>1379</v>
      </c>
      <c r="F560" t="s">
        <v>1380</v>
      </c>
      <c r="G560" t="s">
        <v>155</v>
      </c>
      <c r="H560" t="s">
        <v>10</v>
      </c>
      <c r="I560">
        <v>0</v>
      </c>
      <c r="J560" t="s">
        <v>1254</v>
      </c>
      <c r="K560" s="9">
        <v>111.184</v>
      </c>
      <c r="L560" s="9">
        <v>35.885</v>
      </c>
      <c r="M560" s="9">
        <v>29.578</v>
      </c>
      <c r="N560" t="s">
        <v>14</v>
      </c>
      <c r="O560" s="9">
        <v>2.01</v>
      </c>
      <c r="S560" s="7">
        <v>49.27</v>
      </c>
      <c r="T560" s="7">
        <v>32.28</v>
      </c>
      <c r="X560" s="10" t="s">
        <v>428</v>
      </c>
      <c r="Y560" s="11" t="s">
        <v>1405</v>
      </c>
      <c r="Z560" t="s">
        <v>430</v>
      </c>
    </row>
    <row r="561" spans="1:26">
      <c r="A561">
        <v>513</v>
      </c>
      <c r="B561" t="s">
        <v>1407</v>
      </c>
      <c r="C561" t="s">
        <v>1408</v>
      </c>
      <c r="D561" t="s">
        <v>1409</v>
      </c>
      <c r="E561" t="s">
        <v>1410</v>
      </c>
      <c r="F561" t="s">
        <v>1411</v>
      </c>
      <c r="G561" t="s">
        <v>50</v>
      </c>
      <c r="H561" t="s">
        <v>10</v>
      </c>
      <c r="I561">
        <v>0</v>
      </c>
      <c r="J561" t="s">
        <v>1412</v>
      </c>
      <c r="K561" s="9">
        <v>4.789</v>
      </c>
      <c r="L561" s="9">
        <v>0.621</v>
      </c>
      <c r="M561" s="9">
        <v>0.438</v>
      </c>
      <c r="N561" t="s">
        <v>14</v>
      </c>
      <c r="O561" s="9">
        <v>1.07</v>
      </c>
      <c r="T561" s="7">
        <v>12.97</v>
      </c>
      <c r="X561" s="10" t="s">
        <v>428</v>
      </c>
      <c r="Y561" s="11" t="s">
        <v>1413</v>
      </c>
      <c r="Z561" t="s">
        <v>430</v>
      </c>
    </row>
    <row r="562" spans="1:26">
      <c r="A562">
        <v>514</v>
      </c>
      <c r="B562" t="s">
        <v>1407</v>
      </c>
      <c r="C562" t="s">
        <v>1408</v>
      </c>
      <c r="D562" t="s">
        <v>1409</v>
      </c>
      <c r="E562" t="s">
        <v>1410</v>
      </c>
      <c r="F562" t="s">
        <v>1411</v>
      </c>
      <c r="G562" t="s">
        <v>57</v>
      </c>
      <c r="H562" t="s">
        <v>10</v>
      </c>
      <c r="I562">
        <v>0</v>
      </c>
      <c r="J562" t="s">
        <v>1264</v>
      </c>
      <c r="K562" s="9">
        <v>3.856</v>
      </c>
      <c r="L562" s="9">
        <v>0.047</v>
      </c>
      <c r="M562" s="9">
        <v>0.054</v>
      </c>
      <c r="N562" t="s">
        <v>14</v>
      </c>
      <c r="O562" s="9">
        <v>0.13</v>
      </c>
      <c r="T562" s="7">
        <v>1.22</v>
      </c>
      <c r="X562" s="10" t="s">
        <v>428</v>
      </c>
      <c r="Y562" s="11" t="s">
        <v>1414</v>
      </c>
      <c r="Z562" t="s">
        <v>430</v>
      </c>
    </row>
    <row r="563" spans="1:26">
      <c r="A563">
        <v>515</v>
      </c>
      <c r="B563" t="s">
        <v>1407</v>
      </c>
      <c r="C563" t="s">
        <v>1408</v>
      </c>
      <c r="D563" t="s">
        <v>1409</v>
      </c>
      <c r="E563" t="s">
        <v>1410</v>
      </c>
      <c r="F563" t="s">
        <v>1411</v>
      </c>
      <c r="G563" t="s">
        <v>62</v>
      </c>
      <c r="H563" t="s">
        <v>10</v>
      </c>
      <c r="I563">
        <v>0</v>
      </c>
      <c r="J563" t="s">
        <v>1266</v>
      </c>
      <c r="K563" s="9">
        <v>4.526</v>
      </c>
      <c r="L563" s="9">
        <v>0.525</v>
      </c>
      <c r="M563" s="9">
        <v>0.447</v>
      </c>
      <c r="N563" t="s">
        <v>14</v>
      </c>
      <c r="O563" s="9">
        <v>1.11</v>
      </c>
      <c r="T563" s="7">
        <v>11.6</v>
      </c>
      <c r="X563" s="10" t="s">
        <v>428</v>
      </c>
      <c r="Y563" s="11" t="s">
        <v>1415</v>
      </c>
      <c r="Z563" t="s">
        <v>430</v>
      </c>
    </row>
    <row r="564" spans="1:26">
      <c r="A564">
        <v>516</v>
      </c>
      <c r="B564" t="s">
        <v>1407</v>
      </c>
      <c r="C564" t="s">
        <v>1408</v>
      </c>
      <c r="D564" t="s">
        <v>1409</v>
      </c>
      <c r="E564" t="s">
        <v>1410</v>
      </c>
      <c r="F564" t="s">
        <v>1411</v>
      </c>
      <c r="G564" t="s">
        <v>66</v>
      </c>
      <c r="H564" t="s">
        <v>10</v>
      </c>
      <c r="I564">
        <v>0</v>
      </c>
      <c r="J564" t="s">
        <v>785</v>
      </c>
      <c r="K564" s="9">
        <v>4.687</v>
      </c>
      <c r="L564" s="9">
        <v>0.553</v>
      </c>
      <c r="M564" s="9">
        <v>0.476</v>
      </c>
      <c r="N564" t="s">
        <v>14</v>
      </c>
      <c r="T564" s="7">
        <v>11.8</v>
      </c>
      <c r="X564" s="10" t="s">
        <v>436</v>
      </c>
      <c r="Y564" s="11" t="s">
        <v>1416</v>
      </c>
      <c r="Z564" t="s">
        <v>430</v>
      </c>
    </row>
    <row r="565" spans="1:26">
      <c r="A565">
        <v>517</v>
      </c>
      <c r="B565" t="s">
        <v>1407</v>
      </c>
      <c r="C565" t="s">
        <v>1408</v>
      </c>
      <c r="D565" t="s">
        <v>1409</v>
      </c>
      <c r="E565" t="s">
        <v>1410</v>
      </c>
      <c r="F565" t="s">
        <v>1411</v>
      </c>
      <c r="G565" t="s">
        <v>71</v>
      </c>
      <c r="H565" t="s">
        <v>10</v>
      </c>
      <c r="I565">
        <v>0</v>
      </c>
      <c r="J565" t="s">
        <v>1270</v>
      </c>
      <c r="K565" s="9">
        <v>4.692</v>
      </c>
      <c r="L565" s="9">
        <v>0.538</v>
      </c>
      <c r="M565" s="9">
        <v>0.459</v>
      </c>
      <c r="N565" t="s">
        <v>14</v>
      </c>
      <c r="O565" s="9">
        <v>1.14</v>
      </c>
      <c r="T565" s="7">
        <v>11.47</v>
      </c>
      <c r="X565" s="10" t="s">
        <v>428</v>
      </c>
      <c r="Y565" s="11" t="s">
        <v>1417</v>
      </c>
      <c r="Z565" t="s">
        <v>430</v>
      </c>
    </row>
    <row r="566" spans="1:26">
      <c r="A566">
        <v>518</v>
      </c>
      <c r="B566" t="s">
        <v>1407</v>
      </c>
      <c r="C566" t="s">
        <v>1408</v>
      </c>
      <c r="D566" t="s">
        <v>1409</v>
      </c>
      <c r="E566" t="s">
        <v>1410</v>
      </c>
      <c r="F566" t="s">
        <v>1411</v>
      </c>
      <c r="G566" t="s">
        <v>75</v>
      </c>
      <c r="H566" t="s">
        <v>10</v>
      </c>
      <c r="I566">
        <v>0</v>
      </c>
      <c r="J566" t="s">
        <v>1272</v>
      </c>
      <c r="K566" s="9">
        <v>5.215</v>
      </c>
      <c r="L566" s="9">
        <v>0.62</v>
      </c>
      <c r="M566" s="9">
        <v>0.506</v>
      </c>
      <c r="N566" t="s">
        <v>14</v>
      </c>
      <c r="O566" s="9">
        <v>1.26</v>
      </c>
      <c r="T566" s="7">
        <v>11.89</v>
      </c>
      <c r="X566" s="10" t="s">
        <v>428</v>
      </c>
      <c r="Y566" s="11" t="s">
        <v>1418</v>
      </c>
      <c r="Z566" t="s">
        <v>430</v>
      </c>
    </row>
    <row r="567" spans="1:26">
      <c r="A567">
        <v>519</v>
      </c>
      <c r="B567" t="s">
        <v>1407</v>
      </c>
      <c r="C567" t="s">
        <v>1408</v>
      </c>
      <c r="D567" t="s">
        <v>1409</v>
      </c>
      <c r="E567" t="s">
        <v>1410</v>
      </c>
      <c r="F567" t="s">
        <v>1411</v>
      </c>
      <c r="G567" t="s">
        <v>80</v>
      </c>
      <c r="H567" t="s">
        <v>10</v>
      </c>
      <c r="I567">
        <v>0</v>
      </c>
      <c r="J567" t="s">
        <v>1274</v>
      </c>
      <c r="K567" s="9">
        <v>4.923</v>
      </c>
      <c r="L567" s="9">
        <v>1.113</v>
      </c>
      <c r="M567" s="9">
        <v>0.63</v>
      </c>
      <c r="N567" t="s">
        <v>14</v>
      </c>
      <c r="O567" s="9">
        <v>1.57</v>
      </c>
      <c r="T567" s="7">
        <v>22.61</v>
      </c>
      <c r="X567" s="10" t="s">
        <v>428</v>
      </c>
      <c r="Y567" s="11" t="s">
        <v>1419</v>
      </c>
      <c r="Z567" t="s">
        <v>430</v>
      </c>
    </row>
    <row r="568" spans="1:26">
      <c r="A568">
        <v>520</v>
      </c>
      <c r="B568" t="s">
        <v>1407</v>
      </c>
      <c r="C568" t="s">
        <v>1408</v>
      </c>
      <c r="D568" t="s">
        <v>1409</v>
      </c>
      <c r="E568" t="s">
        <v>1410</v>
      </c>
      <c r="F568" t="s">
        <v>1411</v>
      </c>
      <c r="G568" t="s">
        <v>85</v>
      </c>
      <c r="H568" t="s">
        <v>10</v>
      </c>
      <c r="I568">
        <v>0</v>
      </c>
      <c r="J568" t="s">
        <v>1420</v>
      </c>
      <c r="K568" s="9">
        <v>4.798</v>
      </c>
      <c r="L568" s="9">
        <v>0.625</v>
      </c>
      <c r="M568" s="9">
        <v>0.551</v>
      </c>
      <c r="N568" t="s">
        <v>14</v>
      </c>
      <c r="T568" s="7">
        <v>13.03</v>
      </c>
      <c r="X568" s="10" t="s">
        <v>436</v>
      </c>
      <c r="Y568" s="11" t="s">
        <v>1421</v>
      </c>
      <c r="Z568" t="s">
        <v>430</v>
      </c>
    </row>
    <row r="569" spans="1:26">
      <c r="A569">
        <v>521</v>
      </c>
      <c r="B569" t="s">
        <v>1407</v>
      </c>
      <c r="C569" t="s">
        <v>1408</v>
      </c>
      <c r="D569" t="s">
        <v>1409</v>
      </c>
      <c r="E569" t="s">
        <v>1410</v>
      </c>
      <c r="F569" t="s">
        <v>1411</v>
      </c>
      <c r="G569" t="s">
        <v>89</v>
      </c>
      <c r="H569" t="s">
        <v>10</v>
      </c>
      <c r="I569">
        <v>0</v>
      </c>
      <c r="J569" t="s">
        <v>1278</v>
      </c>
      <c r="K569" s="9">
        <v>4.843</v>
      </c>
      <c r="L569" s="9">
        <v>0.619</v>
      </c>
      <c r="M569" s="9">
        <v>0.533</v>
      </c>
      <c r="N569" t="s">
        <v>14</v>
      </c>
      <c r="O569" s="9">
        <v>1.33</v>
      </c>
      <c r="T569" s="7">
        <v>12.78</v>
      </c>
      <c r="X569" s="10" t="s">
        <v>428</v>
      </c>
      <c r="Y569" s="11" t="s">
        <v>1422</v>
      </c>
      <c r="Z569" t="s">
        <v>430</v>
      </c>
    </row>
    <row r="570" spans="1:26">
      <c r="A570">
        <v>522</v>
      </c>
      <c r="B570" t="s">
        <v>1407</v>
      </c>
      <c r="C570" t="s">
        <v>1408</v>
      </c>
      <c r="D570" t="s">
        <v>1409</v>
      </c>
      <c r="E570" t="s">
        <v>1410</v>
      </c>
      <c r="F570" t="s">
        <v>1411</v>
      </c>
      <c r="G570" t="s">
        <v>93</v>
      </c>
      <c r="H570" t="s">
        <v>10</v>
      </c>
      <c r="I570">
        <v>0</v>
      </c>
      <c r="J570" t="s">
        <v>751</v>
      </c>
      <c r="K570" s="9">
        <v>5.212</v>
      </c>
      <c r="L570" s="9">
        <v>0.72</v>
      </c>
      <c r="M570" s="9">
        <v>0.601</v>
      </c>
      <c r="N570" t="s">
        <v>14</v>
      </c>
      <c r="O570" s="9">
        <v>1.5</v>
      </c>
      <c r="T570" s="7">
        <v>13.81</v>
      </c>
      <c r="X570" s="10" t="s">
        <v>428</v>
      </c>
      <c r="Y570" s="11" t="s">
        <v>1423</v>
      </c>
      <c r="Z570" t="s">
        <v>430</v>
      </c>
    </row>
    <row r="571" spans="1:26">
      <c r="A571">
        <v>523</v>
      </c>
      <c r="B571" t="s">
        <v>1407</v>
      </c>
      <c r="C571" t="s">
        <v>1408</v>
      </c>
      <c r="D571" t="s">
        <v>1409</v>
      </c>
      <c r="E571" t="s">
        <v>1410</v>
      </c>
      <c r="F571" t="s">
        <v>1411</v>
      </c>
      <c r="G571" t="s">
        <v>98</v>
      </c>
      <c r="H571" t="s">
        <v>10</v>
      </c>
      <c r="I571">
        <v>0</v>
      </c>
      <c r="J571" t="s">
        <v>1104</v>
      </c>
      <c r="K571" s="9">
        <v>5.313</v>
      </c>
      <c r="L571" s="9">
        <v>0.72</v>
      </c>
      <c r="M571" s="9">
        <v>0.608</v>
      </c>
      <c r="N571" t="s">
        <v>14</v>
      </c>
      <c r="O571" s="9">
        <v>1.52</v>
      </c>
      <c r="T571" s="7">
        <v>13.55</v>
      </c>
      <c r="X571" s="10" t="s">
        <v>428</v>
      </c>
      <c r="Y571" s="11" t="s">
        <v>1424</v>
      </c>
      <c r="Z571" t="s">
        <v>430</v>
      </c>
    </row>
    <row r="572" spans="1:26">
      <c r="A572">
        <v>524</v>
      </c>
      <c r="B572" t="s">
        <v>1407</v>
      </c>
      <c r="C572" t="s">
        <v>1408</v>
      </c>
      <c r="D572" t="s">
        <v>1409</v>
      </c>
      <c r="E572" t="s">
        <v>1410</v>
      </c>
      <c r="F572" t="s">
        <v>1411</v>
      </c>
      <c r="G572" t="s">
        <v>103</v>
      </c>
      <c r="H572" t="s">
        <v>10</v>
      </c>
      <c r="I572">
        <v>0</v>
      </c>
      <c r="J572" t="s">
        <v>1425</v>
      </c>
      <c r="K572" s="9">
        <v>5.384</v>
      </c>
      <c r="L572" s="9">
        <v>0.852</v>
      </c>
      <c r="M572" s="9">
        <v>0.723</v>
      </c>
      <c r="N572" t="s">
        <v>14</v>
      </c>
      <c r="T572" s="7">
        <v>15.82</v>
      </c>
      <c r="X572" s="10" t="s">
        <v>436</v>
      </c>
      <c r="Y572" s="11" t="s">
        <v>1426</v>
      </c>
      <c r="Z572" t="s">
        <v>430</v>
      </c>
    </row>
    <row r="573" spans="1:26">
      <c r="A573">
        <v>525</v>
      </c>
      <c r="B573" t="s">
        <v>1407</v>
      </c>
      <c r="C573" t="s">
        <v>1408</v>
      </c>
      <c r="D573" t="s">
        <v>1409</v>
      </c>
      <c r="E573" t="s">
        <v>1410</v>
      </c>
      <c r="F573" t="s">
        <v>1411</v>
      </c>
      <c r="G573" t="s">
        <v>107</v>
      </c>
      <c r="H573" t="s">
        <v>10</v>
      </c>
      <c r="I573">
        <v>0</v>
      </c>
      <c r="J573" t="s">
        <v>125</v>
      </c>
      <c r="K573" s="9">
        <v>5.483</v>
      </c>
      <c r="L573" s="9">
        <v>0.762</v>
      </c>
      <c r="M573" s="9">
        <v>0.639</v>
      </c>
      <c r="N573" t="s">
        <v>14</v>
      </c>
      <c r="O573" s="9">
        <v>1.59</v>
      </c>
      <c r="T573" s="7">
        <v>13.9</v>
      </c>
      <c r="X573" s="10" t="s">
        <v>428</v>
      </c>
      <c r="Y573" s="11" t="s">
        <v>1427</v>
      </c>
      <c r="Z573" t="s">
        <v>430</v>
      </c>
    </row>
    <row r="574" spans="1:26">
      <c r="A574">
        <v>526</v>
      </c>
      <c r="B574" t="s">
        <v>1407</v>
      </c>
      <c r="C574" t="s">
        <v>1408</v>
      </c>
      <c r="D574" t="s">
        <v>1409</v>
      </c>
      <c r="E574" t="s">
        <v>1410</v>
      </c>
      <c r="F574" t="s">
        <v>1411</v>
      </c>
      <c r="G574" t="s">
        <v>112</v>
      </c>
      <c r="H574" t="s">
        <v>10</v>
      </c>
      <c r="I574">
        <v>0</v>
      </c>
      <c r="J574" t="s">
        <v>129</v>
      </c>
      <c r="K574" s="9">
        <v>5.866</v>
      </c>
      <c r="L574" s="9">
        <v>0.898</v>
      </c>
      <c r="M574" s="9">
        <v>0.745</v>
      </c>
      <c r="N574" t="s">
        <v>14</v>
      </c>
      <c r="O574" s="9">
        <v>1.86</v>
      </c>
      <c r="T574" s="7">
        <v>15.31</v>
      </c>
      <c r="X574" s="10" t="s">
        <v>428</v>
      </c>
      <c r="Y574" s="11" t="s">
        <v>1428</v>
      </c>
      <c r="Z574" t="s">
        <v>430</v>
      </c>
    </row>
    <row r="575" spans="1:26">
      <c r="A575">
        <v>527</v>
      </c>
      <c r="B575" t="s">
        <v>1407</v>
      </c>
      <c r="C575" t="s">
        <v>1408</v>
      </c>
      <c r="D575" t="s">
        <v>1409</v>
      </c>
      <c r="E575" t="s">
        <v>1410</v>
      </c>
      <c r="F575" t="s">
        <v>1411</v>
      </c>
      <c r="G575" t="s">
        <v>116</v>
      </c>
      <c r="H575" t="s">
        <v>10</v>
      </c>
      <c r="I575">
        <v>0</v>
      </c>
      <c r="J575" t="s">
        <v>134</v>
      </c>
      <c r="K575" s="9">
        <v>5.88</v>
      </c>
      <c r="L575" s="9">
        <v>1.079</v>
      </c>
      <c r="M575" s="9">
        <v>0.892</v>
      </c>
      <c r="N575" t="s">
        <v>14</v>
      </c>
      <c r="O575" s="9">
        <v>2.22</v>
      </c>
      <c r="T575" s="7">
        <v>18.35</v>
      </c>
      <c r="X575" s="10" t="s">
        <v>428</v>
      </c>
      <c r="Y575" s="11" t="s">
        <v>1429</v>
      </c>
      <c r="Z575" t="s">
        <v>430</v>
      </c>
    </row>
    <row r="576" spans="1:26">
      <c r="A576">
        <v>528</v>
      </c>
      <c r="B576" t="s">
        <v>1407</v>
      </c>
      <c r="C576" t="s">
        <v>1408</v>
      </c>
      <c r="D576" t="s">
        <v>1409</v>
      </c>
      <c r="E576" t="s">
        <v>1410</v>
      </c>
      <c r="F576" t="s">
        <v>1411</v>
      </c>
      <c r="G576" t="s">
        <v>120</v>
      </c>
      <c r="H576" t="s">
        <v>10</v>
      </c>
      <c r="I576">
        <v>0</v>
      </c>
      <c r="J576" t="s">
        <v>1430</v>
      </c>
      <c r="K576" s="9">
        <v>5.967</v>
      </c>
      <c r="L576" s="9">
        <v>1.088</v>
      </c>
      <c r="M576" s="9">
        <v>0.947</v>
      </c>
      <c r="N576" t="s">
        <v>14</v>
      </c>
      <c r="T576" s="7">
        <v>18.23</v>
      </c>
      <c r="X576" s="10" t="s">
        <v>436</v>
      </c>
      <c r="Y576" s="11" t="s">
        <v>1431</v>
      </c>
      <c r="Z576" t="s">
        <v>430</v>
      </c>
    </row>
    <row r="577" spans="1:26">
      <c r="A577">
        <v>529</v>
      </c>
      <c r="B577" t="s">
        <v>1407</v>
      </c>
      <c r="C577" t="s">
        <v>1408</v>
      </c>
      <c r="D577" t="s">
        <v>1409</v>
      </c>
      <c r="E577" t="s">
        <v>1410</v>
      </c>
      <c r="F577" t="s">
        <v>1411</v>
      </c>
      <c r="G577" t="s">
        <v>124</v>
      </c>
      <c r="H577" t="s">
        <v>10</v>
      </c>
      <c r="I577">
        <v>0</v>
      </c>
      <c r="J577" t="s">
        <v>1252</v>
      </c>
      <c r="K577" s="9">
        <v>5.943</v>
      </c>
      <c r="L577" s="9">
        <v>1.001</v>
      </c>
      <c r="M577" s="9">
        <v>0.822</v>
      </c>
      <c r="N577" t="s">
        <v>14</v>
      </c>
      <c r="O577" s="9">
        <v>2.04</v>
      </c>
      <c r="T577" s="7">
        <v>16.84</v>
      </c>
      <c r="X577" s="10" t="s">
        <v>428</v>
      </c>
      <c r="Y577" s="11" t="s">
        <v>1432</v>
      </c>
      <c r="Z577" t="s">
        <v>430</v>
      </c>
    </row>
    <row r="578" spans="1:26">
      <c r="A578">
        <v>530</v>
      </c>
      <c r="B578" t="s">
        <v>1407</v>
      </c>
      <c r="C578" t="s">
        <v>1408</v>
      </c>
      <c r="D578" t="s">
        <v>1409</v>
      </c>
      <c r="E578" t="s">
        <v>1410</v>
      </c>
      <c r="F578" t="s">
        <v>1411</v>
      </c>
      <c r="G578" t="s">
        <v>128</v>
      </c>
      <c r="H578" t="s">
        <v>10</v>
      </c>
      <c r="I578">
        <v>0</v>
      </c>
      <c r="J578" t="s">
        <v>1433</v>
      </c>
      <c r="K578" s="9">
        <v>6.35</v>
      </c>
      <c r="L578" s="9">
        <v>1.195</v>
      </c>
      <c r="M578" s="9">
        <v>0.994</v>
      </c>
      <c r="N578" t="s">
        <v>14</v>
      </c>
      <c r="O578" s="9">
        <v>2.48</v>
      </c>
      <c r="T578" s="7">
        <v>18.82</v>
      </c>
      <c r="X578" s="10" t="s">
        <v>428</v>
      </c>
      <c r="Y578" s="11" t="s">
        <v>1434</v>
      </c>
      <c r="Z578" t="s">
        <v>430</v>
      </c>
    </row>
    <row r="579" spans="1:26">
      <c r="A579">
        <v>531</v>
      </c>
      <c r="B579" t="s">
        <v>1407</v>
      </c>
      <c r="C579" t="s">
        <v>1408</v>
      </c>
      <c r="D579" t="s">
        <v>1409</v>
      </c>
      <c r="E579" t="s">
        <v>1410</v>
      </c>
      <c r="F579" t="s">
        <v>1411</v>
      </c>
      <c r="G579" t="s">
        <v>133</v>
      </c>
      <c r="H579" t="s">
        <v>10</v>
      </c>
      <c r="I579">
        <v>0</v>
      </c>
      <c r="J579" t="s">
        <v>1435</v>
      </c>
      <c r="K579" s="9">
        <v>6.345</v>
      </c>
      <c r="L579" s="9">
        <v>1.204</v>
      </c>
      <c r="M579" s="9">
        <v>1.011</v>
      </c>
      <c r="N579" t="s">
        <v>14</v>
      </c>
      <c r="O579" s="9">
        <v>2.53</v>
      </c>
      <c r="T579" s="7">
        <v>18.98</v>
      </c>
      <c r="X579" s="10" t="s">
        <v>428</v>
      </c>
      <c r="Y579" s="11" t="s">
        <v>1436</v>
      </c>
      <c r="Z579" t="s">
        <v>430</v>
      </c>
    </row>
    <row r="580" spans="1:26">
      <c r="A580">
        <v>532</v>
      </c>
      <c r="B580" t="s">
        <v>1407</v>
      </c>
      <c r="C580" t="s">
        <v>1408</v>
      </c>
      <c r="D580" t="s">
        <v>1409</v>
      </c>
      <c r="E580" t="s">
        <v>1410</v>
      </c>
      <c r="F580" t="s">
        <v>1411</v>
      </c>
      <c r="G580" t="s">
        <v>137</v>
      </c>
      <c r="H580" t="s">
        <v>10</v>
      </c>
      <c r="I580">
        <v>0</v>
      </c>
      <c r="J580" t="s">
        <v>1430</v>
      </c>
      <c r="K580" s="9">
        <v>6.24</v>
      </c>
      <c r="L580" s="9">
        <v>1.166</v>
      </c>
      <c r="M580" s="9">
        <v>0.971</v>
      </c>
      <c r="N580" t="s">
        <v>14</v>
      </c>
      <c r="T580" s="7">
        <v>18.69</v>
      </c>
      <c r="X580" s="10" t="s">
        <v>436</v>
      </c>
      <c r="Y580" s="11" t="s">
        <v>1431</v>
      </c>
      <c r="Z580" t="s">
        <v>430</v>
      </c>
    </row>
    <row r="581" spans="1:26">
      <c r="A581">
        <v>533</v>
      </c>
      <c r="B581" t="s">
        <v>1407</v>
      </c>
      <c r="C581" t="s">
        <v>1408</v>
      </c>
      <c r="D581" t="s">
        <v>1409</v>
      </c>
      <c r="E581" t="s">
        <v>1410</v>
      </c>
      <c r="F581" t="s">
        <v>1411</v>
      </c>
      <c r="G581" t="s">
        <v>141</v>
      </c>
      <c r="H581" t="s">
        <v>10</v>
      </c>
      <c r="I581">
        <v>0</v>
      </c>
      <c r="J581" t="s">
        <v>1437</v>
      </c>
      <c r="K581" s="9">
        <v>6.377</v>
      </c>
      <c r="L581" s="9">
        <v>1.177</v>
      </c>
      <c r="M581" s="9">
        <v>0.965</v>
      </c>
      <c r="N581" t="s">
        <v>14</v>
      </c>
      <c r="O581" s="9">
        <v>2.45</v>
      </c>
      <c r="T581" s="7">
        <v>18.46</v>
      </c>
      <c r="X581" s="10" t="s">
        <v>428</v>
      </c>
      <c r="Y581" s="11" t="s">
        <v>1438</v>
      </c>
      <c r="Z581" t="s">
        <v>430</v>
      </c>
    </row>
    <row r="582" spans="1:26">
      <c r="A582">
        <v>534</v>
      </c>
      <c r="B582" t="s">
        <v>1407</v>
      </c>
      <c r="C582" t="s">
        <v>1408</v>
      </c>
      <c r="D582" t="s">
        <v>1409</v>
      </c>
      <c r="E582" t="s">
        <v>1410</v>
      </c>
      <c r="F582" t="s">
        <v>1411</v>
      </c>
      <c r="G582" t="s">
        <v>146</v>
      </c>
      <c r="H582" t="s">
        <v>10</v>
      </c>
      <c r="I582">
        <v>0</v>
      </c>
      <c r="J582" t="s">
        <v>156</v>
      </c>
      <c r="K582" s="9">
        <v>7.028</v>
      </c>
      <c r="L582" s="9">
        <v>1.186</v>
      </c>
      <c r="M582" s="9">
        <v>0.982</v>
      </c>
      <c r="N582" t="s">
        <v>14</v>
      </c>
      <c r="O582" s="9">
        <v>2.51</v>
      </c>
      <c r="T582" s="7">
        <v>16.88</v>
      </c>
      <c r="X582" s="10" t="s">
        <v>428</v>
      </c>
      <c r="Y582" s="11" t="s">
        <v>1439</v>
      </c>
      <c r="Z582" t="s">
        <v>430</v>
      </c>
    </row>
    <row r="583" spans="1:26">
      <c r="A583">
        <v>535</v>
      </c>
      <c r="B583" t="s">
        <v>1407</v>
      </c>
      <c r="C583" t="s">
        <v>1408</v>
      </c>
      <c r="D583" t="s">
        <v>1409</v>
      </c>
      <c r="E583" t="s">
        <v>1410</v>
      </c>
      <c r="F583" t="s">
        <v>1411</v>
      </c>
      <c r="G583" t="s">
        <v>472</v>
      </c>
      <c r="H583" t="s">
        <v>10</v>
      </c>
      <c r="I583">
        <v>0</v>
      </c>
      <c r="J583" t="s">
        <v>1435</v>
      </c>
      <c r="K583" s="9">
        <v>6.988</v>
      </c>
      <c r="L583" s="9">
        <v>1.275</v>
      </c>
      <c r="M583" s="9">
        <v>1.01</v>
      </c>
      <c r="N583" t="s">
        <v>14</v>
      </c>
      <c r="O583" s="9">
        <v>2.59</v>
      </c>
      <c r="T583" s="7">
        <v>18.25</v>
      </c>
      <c r="X583" s="10" t="s">
        <v>428</v>
      </c>
      <c r="Y583" s="11" t="s">
        <v>1436</v>
      </c>
      <c r="Z583" t="s">
        <v>430</v>
      </c>
    </row>
    <row r="584" spans="1:26">
      <c r="A584">
        <v>536</v>
      </c>
      <c r="B584" t="s">
        <v>1407</v>
      </c>
      <c r="C584" t="s">
        <v>1408</v>
      </c>
      <c r="D584" t="s">
        <v>1409</v>
      </c>
      <c r="E584" t="s">
        <v>1410</v>
      </c>
      <c r="F584" t="s">
        <v>1411</v>
      </c>
      <c r="G584" t="s">
        <v>475</v>
      </c>
      <c r="H584" t="s">
        <v>10</v>
      </c>
      <c r="I584">
        <v>0</v>
      </c>
      <c r="J584" t="s">
        <v>1430</v>
      </c>
      <c r="K584" s="9">
        <v>7.055</v>
      </c>
      <c r="L584" s="9">
        <v>1.294</v>
      </c>
      <c r="M584" s="9">
        <v>1.133</v>
      </c>
      <c r="N584" t="s">
        <v>14</v>
      </c>
      <c r="T584" s="7">
        <v>18.34</v>
      </c>
      <c r="X584" s="10" t="s">
        <v>436</v>
      </c>
      <c r="Y584" s="11" t="s">
        <v>1431</v>
      </c>
      <c r="Z584" t="s">
        <v>430</v>
      </c>
    </row>
    <row r="585" spans="1:26">
      <c r="A585">
        <v>537</v>
      </c>
      <c r="B585" t="s">
        <v>1407</v>
      </c>
      <c r="C585" t="s">
        <v>1408</v>
      </c>
      <c r="D585" t="s">
        <v>1409</v>
      </c>
      <c r="E585" t="s">
        <v>1410</v>
      </c>
      <c r="F585" t="s">
        <v>1411</v>
      </c>
      <c r="G585" t="s">
        <v>150</v>
      </c>
      <c r="H585" t="s">
        <v>10</v>
      </c>
      <c r="I585">
        <v>0</v>
      </c>
      <c r="J585" t="s">
        <v>1437</v>
      </c>
      <c r="K585" s="9">
        <v>7.451</v>
      </c>
      <c r="L585" s="9">
        <v>1.107</v>
      </c>
      <c r="M585" s="9">
        <v>0.868</v>
      </c>
      <c r="N585" t="s">
        <v>14</v>
      </c>
      <c r="O585" s="9">
        <v>2.22</v>
      </c>
      <c r="T585" s="7">
        <v>14.86</v>
      </c>
      <c r="X585" s="10" t="s">
        <v>428</v>
      </c>
      <c r="Y585" s="11" t="s">
        <v>1438</v>
      </c>
      <c r="Z585" t="s">
        <v>430</v>
      </c>
    </row>
    <row r="586" spans="1:26">
      <c r="A586">
        <v>538</v>
      </c>
      <c r="B586" t="s">
        <v>1407</v>
      </c>
      <c r="C586" t="s">
        <v>1408</v>
      </c>
      <c r="D586" t="s">
        <v>1409</v>
      </c>
      <c r="E586" t="s">
        <v>1410</v>
      </c>
      <c r="F586" t="s">
        <v>1411</v>
      </c>
      <c r="G586" t="s">
        <v>155</v>
      </c>
      <c r="H586" t="s">
        <v>10</v>
      </c>
      <c r="I586">
        <v>0</v>
      </c>
      <c r="J586" t="s">
        <v>156</v>
      </c>
      <c r="K586" s="9">
        <v>8.531000000000001</v>
      </c>
      <c r="L586" s="9">
        <v>1.144</v>
      </c>
      <c r="M586" s="9">
        <v>0.823</v>
      </c>
      <c r="N586" t="s">
        <v>14</v>
      </c>
      <c r="O586" s="9">
        <v>2.11</v>
      </c>
      <c r="T586" s="7">
        <v>13.41</v>
      </c>
      <c r="X586" s="10" t="s">
        <v>428</v>
      </c>
      <c r="Y586" s="11" t="s">
        <v>1439</v>
      </c>
      <c r="Z586" t="s">
        <v>430</v>
      </c>
    </row>
    <row r="587" spans="1:26">
      <c r="A587">
        <v>539</v>
      </c>
      <c r="B587" t="s">
        <v>1440</v>
      </c>
      <c r="C587" t="s">
        <v>1441</v>
      </c>
      <c r="D587" t="s">
        <v>1442</v>
      </c>
      <c r="E587" t="s">
        <v>1410</v>
      </c>
      <c r="F587" t="s">
        <v>1443</v>
      </c>
      <c r="G587" t="s">
        <v>107</v>
      </c>
      <c r="H587" t="s">
        <v>10</v>
      </c>
      <c r="I587">
        <v>0</v>
      </c>
      <c r="J587" t="s">
        <v>125</v>
      </c>
      <c r="K587" s="9">
        <v>6.822</v>
      </c>
      <c r="L587" s="9">
        <v>-0.469</v>
      </c>
      <c r="M587" s="9">
        <v>-0.315</v>
      </c>
      <c r="N587" t="s">
        <v>14</v>
      </c>
      <c r="S587" s="7">
        <v>13.47</v>
      </c>
      <c r="T587" s="7">
        <v>-6.87</v>
      </c>
      <c r="X587" s="10" t="s">
        <v>428</v>
      </c>
      <c r="Y587" s="11" t="s">
        <v>1444</v>
      </c>
      <c r="Z587" t="s">
        <v>430</v>
      </c>
    </row>
    <row r="588" spans="1:26">
      <c r="A588">
        <v>540</v>
      </c>
      <c r="B588" t="s">
        <v>1440</v>
      </c>
      <c r="C588" t="s">
        <v>1441</v>
      </c>
      <c r="D588" t="s">
        <v>1442</v>
      </c>
      <c r="E588" t="s">
        <v>1410</v>
      </c>
      <c r="F588" t="s">
        <v>1443</v>
      </c>
      <c r="G588" t="s">
        <v>112</v>
      </c>
      <c r="H588" t="s">
        <v>10</v>
      </c>
      <c r="I588">
        <v>0</v>
      </c>
      <c r="J588" t="s">
        <v>1445</v>
      </c>
      <c r="K588" s="9">
        <v>8.119</v>
      </c>
      <c r="L588" s="9">
        <v>-0.341</v>
      </c>
      <c r="M588" s="9">
        <v>-0.15</v>
      </c>
      <c r="N588" t="s">
        <v>14</v>
      </c>
      <c r="O588" s="9">
        <v>-0.55</v>
      </c>
      <c r="S588" s="7">
        <v>14.13</v>
      </c>
      <c r="T588" s="7">
        <v>-4.2</v>
      </c>
      <c r="X588" s="10" t="s">
        <v>428</v>
      </c>
      <c r="Y588" s="11" t="s">
        <v>1446</v>
      </c>
      <c r="Z588" t="s">
        <v>430</v>
      </c>
    </row>
    <row r="589" spans="1:26">
      <c r="A589">
        <v>541</v>
      </c>
      <c r="B589" t="s">
        <v>1440</v>
      </c>
      <c r="C589" t="s">
        <v>1441</v>
      </c>
      <c r="D589" t="s">
        <v>1442</v>
      </c>
      <c r="E589" t="s">
        <v>1410</v>
      </c>
      <c r="F589" t="s">
        <v>1443</v>
      </c>
      <c r="G589" t="s">
        <v>116</v>
      </c>
      <c r="H589" t="s">
        <v>10</v>
      </c>
      <c r="I589">
        <v>0</v>
      </c>
      <c r="J589" t="s">
        <v>1447</v>
      </c>
      <c r="K589" s="9">
        <v>8.253</v>
      </c>
      <c r="L589" s="9">
        <v>-0.307</v>
      </c>
      <c r="M589" s="9">
        <v>-0.17</v>
      </c>
      <c r="N589" t="s">
        <v>14</v>
      </c>
      <c r="O589" s="9">
        <v>-0.62</v>
      </c>
      <c r="S589" s="7">
        <v>12.73</v>
      </c>
      <c r="T589" s="7">
        <v>-3.72</v>
      </c>
      <c r="X589" s="10" t="s">
        <v>428</v>
      </c>
      <c r="Y589" s="11" t="s">
        <v>1448</v>
      </c>
      <c r="Z589" t="s">
        <v>430</v>
      </c>
    </row>
    <row r="590" spans="1:26">
      <c r="A590">
        <v>542</v>
      </c>
      <c r="B590" t="s">
        <v>1440</v>
      </c>
      <c r="C590" t="s">
        <v>1441</v>
      </c>
      <c r="D590" t="s">
        <v>1442</v>
      </c>
      <c r="E590" t="s">
        <v>1410</v>
      </c>
      <c r="F590" t="s">
        <v>1443</v>
      </c>
      <c r="G590" t="s">
        <v>120</v>
      </c>
      <c r="H590" t="s">
        <v>10</v>
      </c>
      <c r="I590">
        <v>0</v>
      </c>
      <c r="J590" t="s">
        <v>886</v>
      </c>
      <c r="K590" s="9">
        <v>10.045</v>
      </c>
      <c r="L590" s="9">
        <v>0.194</v>
      </c>
      <c r="M590" s="9">
        <v>0.197</v>
      </c>
      <c r="N590" t="s">
        <v>14</v>
      </c>
      <c r="S590" s="7">
        <v>16.93</v>
      </c>
      <c r="T590" s="7">
        <v>1.93</v>
      </c>
      <c r="X590" s="10" t="s">
        <v>483</v>
      </c>
      <c r="Y590" s="11" t="s">
        <v>1449</v>
      </c>
      <c r="Z590" t="s">
        <v>430</v>
      </c>
    </row>
    <row r="591" spans="1:26">
      <c r="A591">
        <v>543</v>
      </c>
      <c r="B591" t="s">
        <v>1440</v>
      </c>
      <c r="C591" t="s">
        <v>1441</v>
      </c>
      <c r="D591" t="s">
        <v>1442</v>
      </c>
      <c r="E591" t="s">
        <v>1410</v>
      </c>
      <c r="F591" t="s">
        <v>1443</v>
      </c>
      <c r="G591" t="s">
        <v>124</v>
      </c>
      <c r="H591" t="s">
        <v>10</v>
      </c>
      <c r="I591">
        <v>0</v>
      </c>
      <c r="J591" t="s">
        <v>1450</v>
      </c>
      <c r="K591" s="9">
        <v>7.26</v>
      </c>
      <c r="L591" s="9">
        <v>-0.289</v>
      </c>
      <c r="M591" s="9">
        <v>-0.13</v>
      </c>
      <c r="N591" t="s">
        <v>14</v>
      </c>
      <c r="O591" s="9">
        <v>-0.47</v>
      </c>
      <c r="S591" s="7">
        <v>15.84</v>
      </c>
      <c r="T591" s="7">
        <v>-3.98</v>
      </c>
      <c r="X591" s="10" t="s">
        <v>428</v>
      </c>
      <c r="Y591" s="11" t="s">
        <v>1451</v>
      </c>
      <c r="Z591" t="s">
        <v>430</v>
      </c>
    </row>
    <row r="592" spans="1:26">
      <c r="A592">
        <v>544</v>
      </c>
      <c r="B592" t="s">
        <v>1440</v>
      </c>
      <c r="C592" t="s">
        <v>1441</v>
      </c>
      <c r="D592" t="s">
        <v>1442</v>
      </c>
      <c r="E592" t="s">
        <v>1410</v>
      </c>
      <c r="F592" t="s">
        <v>1443</v>
      </c>
      <c r="G592" t="s">
        <v>128</v>
      </c>
      <c r="H592" t="s">
        <v>10</v>
      </c>
      <c r="I592">
        <v>0</v>
      </c>
      <c r="J592" t="s">
        <v>243</v>
      </c>
      <c r="K592" s="9">
        <v>8.204000000000001</v>
      </c>
      <c r="L592" s="9">
        <v>0.527</v>
      </c>
      <c r="M592" s="9">
        <v>1.294</v>
      </c>
      <c r="N592" t="s">
        <v>14</v>
      </c>
      <c r="O592" s="9">
        <v>4.65</v>
      </c>
      <c r="S592" s="7">
        <v>20.75</v>
      </c>
      <c r="T592" s="7">
        <v>6.42</v>
      </c>
      <c r="X592" s="10" t="s">
        <v>428</v>
      </c>
      <c r="Y592" s="11" t="s">
        <v>1452</v>
      </c>
      <c r="Z592" t="s">
        <v>430</v>
      </c>
    </row>
    <row r="593" spans="1:26">
      <c r="A593">
        <v>545</v>
      </c>
      <c r="B593" t="s">
        <v>1440</v>
      </c>
      <c r="C593" t="s">
        <v>1441</v>
      </c>
      <c r="D593" t="s">
        <v>1442</v>
      </c>
      <c r="E593" t="s">
        <v>1410</v>
      </c>
      <c r="F593" t="s">
        <v>1443</v>
      </c>
      <c r="G593" t="s">
        <v>133</v>
      </c>
      <c r="H593" t="s">
        <v>10</v>
      </c>
      <c r="I593">
        <v>0</v>
      </c>
      <c r="J593" t="s">
        <v>1453</v>
      </c>
      <c r="K593" s="9">
        <v>8.913</v>
      </c>
      <c r="L593" s="9">
        <v>-0.359</v>
      </c>
      <c r="M593" s="9">
        <v>-0.096</v>
      </c>
      <c r="N593" t="s">
        <v>14</v>
      </c>
      <c r="O593" s="9">
        <v>-0.35</v>
      </c>
      <c r="S593" s="7">
        <v>12.44</v>
      </c>
      <c r="T593" s="7">
        <v>-4.03</v>
      </c>
      <c r="X593" s="10" t="s">
        <v>428</v>
      </c>
      <c r="Y593" s="11" t="s">
        <v>1454</v>
      </c>
      <c r="Z593" t="s">
        <v>430</v>
      </c>
    </row>
    <row r="594" spans="1:26">
      <c r="A594">
        <v>546</v>
      </c>
      <c r="B594" t="s">
        <v>1440</v>
      </c>
      <c r="C594" t="s">
        <v>1441</v>
      </c>
      <c r="D594" t="s">
        <v>1442</v>
      </c>
      <c r="E594" t="s">
        <v>1410</v>
      </c>
      <c r="F594" t="s">
        <v>1443</v>
      </c>
      <c r="G594" t="s">
        <v>137</v>
      </c>
      <c r="H594" t="s">
        <v>10</v>
      </c>
      <c r="I594">
        <v>0</v>
      </c>
      <c r="J594" t="s">
        <v>886</v>
      </c>
      <c r="K594" s="9">
        <v>10.558</v>
      </c>
      <c r="L594" s="9">
        <v>0.592</v>
      </c>
      <c r="M594" s="9">
        <v>0.484</v>
      </c>
      <c r="N594" t="s">
        <v>14</v>
      </c>
      <c r="S594" s="7">
        <v>20.12</v>
      </c>
      <c r="T594" s="7">
        <v>5.61</v>
      </c>
      <c r="X594" s="10" t="s">
        <v>483</v>
      </c>
      <c r="Y594" s="11" t="s">
        <v>1449</v>
      </c>
      <c r="Z594" t="s">
        <v>430</v>
      </c>
    </row>
    <row r="595" spans="1:26">
      <c r="A595">
        <v>547</v>
      </c>
      <c r="B595" t="s">
        <v>1440</v>
      </c>
      <c r="C595" t="s">
        <v>1441</v>
      </c>
      <c r="D595" t="s">
        <v>1442</v>
      </c>
      <c r="E595" t="s">
        <v>1410</v>
      </c>
      <c r="F595" t="s">
        <v>1443</v>
      </c>
      <c r="G595" t="s">
        <v>141</v>
      </c>
      <c r="H595" t="s">
        <v>10</v>
      </c>
      <c r="I595">
        <v>0</v>
      </c>
      <c r="J595" t="s">
        <v>1455</v>
      </c>
      <c r="K595" s="9">
        <v>8.032</v>
      </c>
      <c r="L595" s="9">
        <v>0.043</v>
      </c>
      <c r="M595" s="9">
        <v>0.254</v>
      </c>
      <c r="N595" t="s">
        <v>14</v>
      </c>
      <c r="O595" s="9">
        <v>0.91</v>
      </c>
      <c r="S595" s="7">
        <v>18.3</v>
      </c>
      <c r="T595" s="7">
        <v>0.54</v>
      </c>
      <c r="X595" s="10" t="s">
        <v>428</v>
      </c>
      <c r="Y595" s="11" t="s">
        <v>1456</v>
      </c>
      <c r="Z595" t="s">
        <v>430</v>
      </c>
    </row>
    <row r="596" spans="1:26">
      <c r="A596">
        <v>548</v>
      </c>
      <c r="B596" t="s">
        <v>1440</v>
      </c>
      <c r="C596" t="s">
        <v>1441</v>
      </c>
      <c r="D596" t="s">
        <v>1442</v>
      </c>
      <c r="E596" t="s">
        <v>1410</v>
      </c>
      <c r="F596" t="s">
        <v>1443</v>
      </c>
      <c r="G596" t="s">
        <v>146</v>
      </c>
      <c r="H596" t="s">
        <v>10</v>
      </c>
      <c r="I596">
        <v>0</v>
      </c>
      <c r="J596" t="s">
        <v>1457</v>
      </c>
      <c r="K596" s="9">
        <v>9.111000000000001</v>
      </c>
      <c r="L596" s="9">
        <v>0.378</v>
      </c>
      <c r="M596" s="9">
        <v>0.514</v>
      </c>
      <c r="N596" t="s">
        <v>14</v>
      </c>
      <c r="O596" s="9">
        <v>1.86</v>
      </c>
      <c r="S596" s="7">
        <v>20.26</v>
      </c>
      <c r="T596" s="7">
        <v>4.15</v>
      </c>
      <c r="X596" s="10" t="s">
        <v>428</v>
      </c>
      <c r="Y596" s="11" t="s">
        <v>1458</v>
      </c>
      <c r="Z596" t="s">
        <v>430</v>
      </c>
    </row>
    <row r="597" spans="1:26">
      <c r="A597">
        <v>549</v>
      </c>
      <c r="B597" t="s">
        <v>1440</v>
      </c>
      <c r="C597" t="s">
        <v>1441</v>
      </c>
      <c r="D597" t="s">
        <v>1442</v>
      </c>
      <c r="E597" t="s">
        <v>1410</v>
      </c>
      <c r="F597" t="s">
        <v>1443</v>
      </c>
      <c r="G597" t="s">
        <v>472</v>
      </c>
      <c r="H597" t="s">
        <v>10</v>
      </c>
      <c r="I597">
        <v>0</v>
      </c>
      <c r="J597" t="s">
        <v>1453</v>
      </c>
      <c r="K597" s="9">
        <v>9.968999999999999</v>
      </c>
      <c r="L597" s="9">
        <v>0.366</v>
      </c>
      <c r="M597" s="9">
        <v>0.452</v>
      </c>
      <c r="N597" t="s">
        <v>14</v>
      </c>
      <c r="O597" s="9">
        <v>1.64</v>
      </c>
      <c r="S597" s="7">
        <v>19.03</v>
      </c>
      <c r="T597" s="7">
        <v>3.67</v>
      </c>
      <c r="X597" s="10" t="s">
        <v>428</v>
      </c>
      <c r="Y597" s="11" t="s">
        <v>1454</v>
      </c>
      <c r="Z597" t="s">
        <v>430</v>
      </c>
    </row>
    <row r="598" spans="1:26">
      <c r="A598">
        <v>550</v>
      </c>
      <c r="B598" t="s">
        <v>1440</v>
      </c>
      <c r="C598" t="s">
        <v>1441</v>
      </c>
      <c r="D598" t="s">
        <v>1442</v>
      </c>
      <c r="E598" t="s">
        <v>1410</v>
      </c>
      <c r="F598" t="s">
        <v>1443</v>
      </c>
      <c r="G598" t="s">
        <v>475</v>
      </c>
      <c r="H598" t="s">
        <v>10</v>
      </c>
      <c r="I598">
        <v>0</v>
      </c>
      <c r="J598" t="s">
        <v>886</v>
      </c>
      <c r="K598" s="9">
        <v>10.956</v>
      </c>
      <c r="L598" s="9">
        <v>0.601</v>
      </c>
      <c r="M598" s="9">
        <v>3.664</v>
      </c>
      <c r="N598" t="s">
        <v>14</v>
      </c>
      <c r="S598" s="7">
        <v>21.19</v>
      </c>
      <c r="T598" s="7">
        <v>5.49</v>
      </c>
      <c r="X598" s="10" t="s">
        <v>483</v>
      </c>
      <c r="Y598" s="11" t="s">
        <v>1449</v>
      </c>
      <c r="Z598" t="s">
        <v>430</v>
      </c>
    </row>
    <row r="599" spans="1:26">
      <c r="A599">
        <v>551</v>
      </c>
      <c r="B599" t="s">
        <v>1440</v>
      </c>
      <c r="C599" t="s">
        <v>1441</v>
      </c>
      <c r="D599" t="s">
        <v>1442</v>
      </c>
      <c r="E599" t="s">
        <v>1410</v>
      </c>
      <c r="F599" t="s">
        <v>1443</v>
      </c>
      <c r="G599" t="s">
        <v>150</v>
      </c>
      <c r="H599" t="s">
        <v>10</v>
      </c>
      <c r="I599">
        <v>0</v>
      </c>
      <c r="J599" t="s">
        <v>1455</v>
      </c>
      <c r="K599" s="9">
        <v>9.339</v>
      </c>
      <c r="L599" s="9">
        <v>0.179</v>
      </c>
      <c r="M599" s="9">
        <v>4.745</v>
      </c>
      <c r="N599" t="s">
        <v>14</v>
      </c>
      <c r="O599" s="9">
        <v>17.44</v>
      </c>
      <c r="S599" s="7">
        <v>19.07</v>
      </c>
      <c r="T599" s="7">
        <v>1.92</v>
      </c>
      <c r="X599" s="10" t="s">
        <v>428</v>
      </c>
      <c r="Y599" s="11" t="s">
        <v>1456</v>
      </c>
      <c r="Z599" t="s">
        <v>430</v>
      </c>
    </row>
    <row r="600" spans="1:26">
      <c r="A600">
        <v>552</v>
      </c>
      <c r="B600" t="s">
        <v>1440</v>
      </c>
      <c r="C600" t="s">
        <v>1441</v>
      </c>
      <c r="D600" t="s">
        <v>1442</v>
      </c>
      <c r="E600" t="s">
        <v>1410</v>
      </c>
      <c r="F600" t="s">
        <v>1443</v>
      </c>
      <c r="G600" t="s">
        <v>155</v>
      </c>
      <c r="H600" t="s">
        <v>10</v>
      </c>
      <c r="I600">
        <v>0</v>
      </c>
      <c r="J600" t="s">
        <v>1457</v>
      </c>
      <c r="K600" s="9">
        <v>11.104</v>
      </c>
      <c r="L600" s="9">
        <v>0.653</v>
      </c>
      <c r="M600" s="9">
        <v>0.668</v>
      </c>
      <c r="N600" t="s">
        <v>14</v>
      </c>
      <c r="O600" s="9">
        <v>2.47</v>
      </c>
      <c r="S600" s="7">
        <v>21.25</v>
      </c>
      <c r="T600" s="7">
        <v>5.88</v>
      </c>
      <c r="X600" s="10" t="s">
        <v>428</v>
      </c>
      <c r="Y600" s="11" t="s">
        <v>1458</v>
      </c>
      <c r="Z600" t="s">
        <v>430</v>
      </c>
    </row>
    <row r="601" spans="1:26">
      <c r="A601">
        <v>372</v>
      </c>
      <c r="B601" t="s">
        <v>1459</v>
      </c>
      <c r="C601" t="s">
        <v>1460</v>
      </c>
      <c r="D601" t="s">
        <v>1461</v>
      </c>
      <c r="E601" t="s">
        <v>1410</v>
      </c>
      <c r="F601" t="s">
        <v>1462</v>
      </c>
      <c r="G601" t="s">
        <v>50</v>
      </c>
      <c r="H601" t="s">
        <v>10</v>
      </c>
      <c r="I601">
        <v>0</v>
      </c>
      <c r="J601" t="s">
        <v>1463</v>
      </c>
      <c r="K601" s="9">
        <v>0.8973</v>
      </c>
      <c r="L601" s="9">
        <v>-0.0122</v>
      </c>
      <c r="M601" s="9">
        <v>-0.2083</v>
      </c>
      <c r="N601" t="s">
        <v>14</v>
      </c>
      <c r="O601" s="9">
        <v>-0.87</v>
      </c>
      <c r="T601" s="7">
        <v>-1.36</v>
      </c>
      <c r="X601" s="10" t="s">
        <v>428</v>
      </c>
      <c r="Y601" s="11" t="s">
        <v>1464</v>
      </c>
      <c r="Z601" t="s">
        <v>522</v>
      </c>
    </row>
    <row r="602" spans="1:26">
      <c r="A602">
        <v>373</v>
      </c>
      <c r="B602" t="s">
        <v>1459</v>
      </c>
      <c r="C602" t="s">
        <v>1460</v>
      </c>
      <c r="D602" t="s">
        <v>1461</v>
      </c>
      <c r="E602" t="s">
        <v>1410</v>
      </c>
      <c r="F602" t="s">
        <v>1462</v>
      </c>
      <c r="G602" t="s">
        <v>57</v>
      </c>
      <c r="H602" t="s">
        <v>10</v>
      </c>
      <c r="I602">
        <v>0</v>
      </c>
      <c r="J602" t="s">
        <v>1465</v>
      </c>
      <c r="K602" s="9">
        <v>1.0057</v>
      </c>
      <c r="L602" s="9">
        <v>0.0706</v>
      </c>
      <c r="M602" s="9">
        <v>-0.056</v>
      </c>
      <c r="N602" t="s">
        <v>14</v>
      </c>
      <c r="O602" s="9">
        <v>-0.17</v>
      </c>
      <c r="T602" s="7">
        <v>7.02</v>
      </c>
      <c r="X602" s="10" t="s">
        <v>428</v>
      </c>
      <c r="Y602" s="11" t="s">
        <v>1466</v>
      </c>
      <c r="Z602" t="s">
        <v>522</v>
      </c>
    </row>
    <row r="603" spans="1:26">
      <c r="A603">
        <v>374</v>
      </c>
      <c r="B603" t="s">
        <v>1459</v>
      </c>
      <c r="C603" t="s">
        <v>1460</v>
      </c>
      <c r="D603" t="s">
        <v>1461</v>
      </c>
      <c r="E603" t="s">
        <v>1410</v>
      </c>
      <c r="F603" t="s">
        <v>1462</v>
      </c>
      <c r="G603" t="s">
        <v>62</v>
      </c>
      <c r="H603" t="s">
        <v>10</v>
      </c>
      <c r="I603">
        <v>0</v>
      </c>
      <c r="J603" t="s">
        <v>1467</v>
      </c>
      <c r="K603" s="9">
        <v>1.162</v>
      </c>
      <c r="L603" s="9">
        <v>0.0351</v>
      </c>
      <c r="M603" s="9">
        <v>-0.1035</v>
      </c>
      <c r="N603" t="s">
        <v>14</v>
      </c>
      <c r="O603" s="9">
        <v>-0.32</v>
      </c>
      <c r="T603" s="7">
        <v>3.02</v>
      </c>
      <c r="X603" s="10" t="s">
        <v>428</v>
      </c>
      <c r="Y603" s="11" t="s">
        <v>1468</v>
      </c>
      <c r="Z603" t="s">
        <v>522</v>
      </c>
    </row>
    <row r="604" spans="1:26">
      <c r="A604">
        <v>375</v>
      </c>
      <c r="B604" t="s">
        <v>1459</v>
      </c>
      <c r="C604" t="s">
        <v>1460</v>
      </c>
      <c r="D604" t="s">
        <v>1461</v>
      </c>
      <c r="E604" t="s">
        <v>1410</v>
      </c>
      <c r="F604" t="s">
        <v>1462</v>
      </c>
      <c r="G604" t="s">
        <v>66</v>
      </c>
      <c r="H604" t="s">
        <v>10</v>
      </c>
      <c r="I604">
        <v>0</v>
      </c>
      <c r="J604" t="s">
        <v>482</v>
      </c>
      <c r="K604" s="9">
        <v>1.3056</v>
      </c>
      <c r="L604" s="9">
        <v>0.12</v>
      </c>
      <c r="M604" s="9">
        <v>0.0405</v>
      </c>
      <c r="N604" t="s">
        <v>14</v>
      </c>
      <c r="T604" s="7">
        <v>9.19</v>
      </c>
      <c r="X604" s="10" t="s">
        <v>436</v>
      </c>
      <c r="Y604" s="11" t="s">
        <v>1469</v>
      </c>
      <c r="Z604" t="s">
        <v>522</v>
      </c>
    </row>
    <row r="605" spans="1:26">
      <c r="A605">
        <v>376</v>
      </c>
      <c r="B605" t="s">
        <v>1459</v>
      </c>
      <c r="C605" t="s">
        <v>1460</v>
      </c>
      <c r="D605" t="s">
        <v>1461</v>
      </c>
      <c r="E605" t="s">
        <v>1410</v>
      </c>
      <c r="F605" t="s">
        <v>1462</v>
      </c>
      <c r="G605" t="s">
        <v>71</v>
      </c>
      <c r="H605" t="s">
        <v>10</v>
      </c>
      <c r="I605">
        <v>0</v>
      </c>
      <c r="J605" t="s">
        <v>1470</v>
      </c>
      <c r="K605" s="9">
        <v>1.0984</v>
      </c>
      <c r="L605" s="9">
        <v>0.0798</v>
      </c>
      <c r="M605" s="9">
        <v>0.0317</v>
      </c>
      <c r="N605" t="s">
        <v>14</v>
      </c>
      <c r="O605" s="9">
        <v>0.09</v>
      </c>
      <c r="T605" s="7">
        <v>7.27</v>
      </c>
      <c r="X605" s="10" t="s">
        <v>428</v>
      </c>
      <c r="Y605" s="11" t="s">
        <v>1471</v>
      </c>
      <c r="Z605" t="s">
        <v>522</v>
      </c>
    </row>
    <row r="606" spans="1:26">
      <c r="A606">
        <v>377</v>
      </c>
      <c r="B606" t="s">
        <v>1459</v>
      </c>
      <c r="C606" t="s">
        <v>1460</v>
      </c>
      <c r="D606" t="s">
        <v>1461</v>
      </c>
      <c r="E606" t="s">
        <v>1410</v>
      </c>
      <c r="F606" t="s">
        <v>1462</v>
      </c>
      <c r="G606" t="s">
        <v>75</v>
      </c>
      <c r="H606" t="s">
        <v>10</v>
      </c>
      <c r="I606">
        <v>0</v>
      </c>
      <c r="J606" t="s">
        <v>487</v>
      </c>
      <c r="K606" s="9">
        <v>1.2603</v>
      </c>
      <c r="L606" s="9">
        <v>0.1022</v>
      </c>
      <c r="M606" s="9">
        <v>0.0097</v>
      </c>
      <c r="N606" t="s">
        <v>14</v>
      </c>
      <c r="O606" s="9">
        <v>0.03</v>
      </c>
      <c r="T606" s="7">
        <v>8.109999999999999</v>
      </c>
      <c r="X606" s="10" t="s">
        <v>428</v>
      </c>
      <c r="Y606" s="11" t="s">
        <v>1472</v>
      </c>
      <c r="Z606" t="s">
        <v>522</v>
      </c>
    </row>
    <row r="607" spans="1:26">
      <c r="A607">
        <v>378</v>
      </c>
      <c r="B607" t="s">
        <v>1459</v>
      </c>
      <c r="C607" t="s">
        <v>1460</v>
      </c>
      <c r="D607" t="s">
        <v>1461</v>
      </c>
      <c r="E607" t="s">
        <v>1410</v>
      </c>
      <c r="F607" t="s">
        <v>1462</v>
      </c>
      <c r="G607" t="s">
        <v>80</v>
      </c>
      <c r="H607" t="s">
        <v>10</v>
      </c>
      <c r="I607">
        <v>0</v>
      </c>
      <c r="J607" t="s">
        <v>1473</v>
      </c>
      <c r="K607" s="9">
        <v>1.2289</v>
      </c>
      <c r="L607" s="9">
        <v>0.0818</v>
      </c>
      <c r="M607" s="9">
        <v>0.0562</v>
      </c>
      <c r="N607" t="s">
        <v>14</v>
      </c>
      <c r="O607" s="9">
        <v>0.15</v>
      </c>
      <c r="T607" s="7">
        <v>6.66</v>
      </c>
      <c r="X607" s="10" t="s">
        <v>428</v>
      </c>
      <c r="Y607" s="11" t="s">
        <v>1474</v>
      </c>
      <c r="Z607" t="s">
        <v>522</v>
      </c>
    </row>
    <row r="608" spans="1:26">
      <c r="A608">
        <v>379</v>
      </c>
      <c r="B608" t="s">
        <v>1459</v>
      </c>
      <c r="C608" t="s">
        <v>1460</v>
      </c>
      <c r="D608" t="s">
        <v>1461</v>
      </c>
      <c r="E608" t="s">
        <v>1410</v>
      </c>
      <c r="F608" t="s">
        <v>1462</v>
      </c>
      <c r="G608" t="s">
        <v>85</v>
      </c>
      <c r="H608" t="s">
        <v>10</v>
      </c>
      <c r="I608">
        <v>0</v>
      </c>
      <c r="J608" t="s">
        <v>1475</v>
      </c>
      <c r="K608" s="9">
        <v>1.4105</v>
      </c>
      <c r="L608" s="9">
        <v>-0.0039</v>
      </c>
      <c r="M608" s="9">
        <v>0.022</v>
      </c>
      <c r="N608" t="s">
        <v>14</v>
      </c>
      <c r="T608" s="7">
        <v>-0.28</v>
      </c>
      <c r="X608" s="10" t="s">
        <v>436</v>
      </c>
      <c r="Y608" s="11" t="s">
        <v>1476</v>
      </c>
      <c r="Z608" t="s">
        <v>522</v>
      </c>
    </row>
    <row r="609" spans="1:26">
      <c r="A609">
        <v>380</v>
      </c>
      <c r="B609" t="s">
        <v>1459</v>
      </c>
      <c r="C609" t="s">
        <v>1460</v>
      </c>
      <c r="D609" t="s">
        <v>1461</v>
      </c>
      <c r="E609" t="s">
        <v>1410</v>
      </c>
      <c r="F609" t="s">
        <v>1462</v>
      </c>
      <c r="G609" t="s">
        <v>89</v>
      </c>
      <c r="H609" t="s">
        <v>10</v>
      </c>
      <c r="I609">
        <v>0</v>
      </c>
      <c r="J609" t="s">
        <v>601</v>
      </c>
      <c r="K609" s="9">
        <v>1.1564</v>
      </c>
      <c r="L609" s="9">
        <v>-0.0452</v>
      </c>
      <c r="M609" s="9">
        <v>0.008500000000000001</v>
      </c>
      <c r="N609" t="s">
        <v>14</v>
      </c>
      <c r="O609" s="9">
        <v>-0.23</v>
      </c>
      <c r="T609" s="7">
        <v>-3.91</v>
      </c>
      <c r="X609" s="10" t="s">
        <v>428</v>
      </c>
      <c r="Y609" s="11" t="s">
        <v>1477</v>
      </c>
      <c r="Z609" t="s">
        <v>522</v>
      </c>
    </row>
    <row r="610" spans="1:26">
      <c r="A610">
        <v>381</v>
      </c>
      <c r="B610" t="s">
        <v>1459</v>
      </c>
      <c r="C610" t="s">
        <v>1460</v>
      </c>
      <c r="D610" t="s">
        <v>1461</v>
      </c>
      <c r="E610" t="s">
        <v>1410</v>
      </c>
      <c r="F610" t="s">
        <v>1462</v>
      </c>
      <c r="G610" t="s">
        <v>93</v>
      </c>
      <c r="H610" t="s">
        <v>10</v>
      </c>
      <c r="I610">
        <v>0</v>
      </c>
      <c r="J610" t="s">
        <v>495</v>
      </c>
      <c r="K610" s="9">
        <v>1.3994</v>
      </c>
      <c r="L610" s="9">
        <v>0.0262</v>
      </c>
      <c r="M610" s="9">
        <v>0.0203</v>
      </c>
      <c r="N610" t="s">
        <v>14</v>
      </c>
      <c r="O610" s="9">
        <v>0.05</v>
      </c>
      <c r="T610" s="7">
        <v>1.87</v>
      </c>
      <c r="X610" s="10" t="s">
        <v>428</v>
      </c>
      <c r="Y610" s="11" t="s">
        <v>1478</v>
      </c>
      <c r="Z610" t="s">
        <v>522</v>
      </c>
    </row>
    <row r="611" spans="1:26">
      <c r="A611">
        <v>382</v>
      </c>
      <c r="B611" t="s">
        <v>1459</v>
      </c>
      <c r="C611" t="s">
        <v>1460</v>
      </c>
      <c r="D611" t="s">
        <v>1461</v>
      </c>
      <c r="E611" t="s">
        <v>1410</v>
      </c>
      <c r="F611" t="s">
        <v>1462</v>
      </c>
      <c r="G611" t="s">
        <v>98</v>
      </c>
      <c r="H611" t="s">
        <v>10</v>
      </c>
      <c r="I611">
        <v>0</v>
      </c>
      <c r="J611" t="s">
        <v>605</v>
      </c>
      <c r="K611" s="9">
        <v>1.4811</v>
      </c>
      <c r="L611" s="9">
        <v>0.08</v>
      </c>
      <c r="M611" s="9">
        <v>0.0212</v>
      </c>
      <c r="N611" t="s">
        <v>14</v>
      </c>
      <c r="O611" s="9">
        <v>0.06</v>
      </c>
      <c r="T611" s="7">
        <v>5.4</v>
      </c>
      <c r="X611" s="10" t="s">
        <v>428</v>
      </c>
      <c r="Y611" s="11" t="s">
        <v>1479</v>
      </c>
      <c r="Z611" t="s">
        <v>522</v>
      </c>
    </row>
    <row r="612" spans="1:26">
      <c r="A612">
        <v>383</v>
      </c>
      <c r="B612" t="s">
        <v>1459</v>
      </c>
      <c r="C612" t="s">
        <v>1460</v>
      </c>
      <c r="D612" t="s">
        <v>1461</v>
      </c>
      <c r="E612" t="s">
        <v>1410</v>
      </c>
      <c r="F612" t="s">
        <v>1462</v>
      </c>
      <c r="G612" t="s">
        <v>103</v>
      </c>
      <c r="H612" t="s">
        <v>10</v>
      </c>
      <c r="I612">
        <v>0</v>
      </c>
      <c r="J612" t="s">
        <v>1480</v>
      </c>
      <c r="K612" s="9">
        <v>1.6546</v>
      </c>
      <c r="L612" s="9">
        <v>0.1624</v>
      </c>
      <c r="M612" s="9">
        <v>0.0266</v>
      </c>
      <c r="N612" t="s">
        <v>14</v>
      </c>
      <c r="T612" s="7">
        <v>9.82</v>
      </c>
      <c r="X612" s="10" t="s">
        <v>436</v>
      </c>
      <c r="Y612" s="11" t="s">
        <v>1481</v>
      </c>
      <c r="Z612" t="s">
        <v>522</v>
      </c>
    </row>
    <row r="613" spans="1:26">
      <c r="A613">
        <v>384</v>
      </c>
      <c r="B613" t="s">
        <v>1459</v>
      </c>
      <c r="C613" t="s">
        <v>1460</v>
      </c>
      <c r="D613" t="s">
        <v>1461</v>
      </c>
      <c r="E613" t="s">
        <v>1410</v>
      </c>
      <c r="F613" t="s">
        <v>1462</v>
      </c>
      <c r="G613" t="s">
        <v>107</v>
      </c>
      <c r="H613" t="s">
        <v>10</v>
      </c>
      <c r="I613">
        <v>0</v>
      </c>
      <c r="J613" t="s">
        <v>609</v>
      </c>
      <c r="K613" s="9">
        <v>1.5211</v>
      </c>
      <c r="L613" s="9">
        <v>0.1303</v>
      </c>
      <c r="M613" s="9">
        <v>0.0503</v>
      </c>
      <c r="N613" t="s">
        <v>14</v>
      </c>
      <c r="O613" s="9">
        <v>0.12</v>
      </c>
      <c r="T613" s="7">
        <v>8.57</v>
      </c>
      <c r="X613" s="10" t="s">
        <v>428</v>
      </c>
      <c r="Y613" s="11" t="s">
        <v>1482</v>
      </c>
      <c r="Z613" t="s">
        <v>522</v>
      </c>
    </row>
    <row r="614" spans="1:26">
      <c r="A614">
        <v>385</v>
      </c>
      <c r="B614" t="s">
        <v>1459</v>
      </c>
      <c r="C614" t="s">
        <v>1460</v>
      </c>
      <c r="D614" t="s">
        <v>1461</v>
      </c>
      <c r="E614" t="s">
        <v>1410</v>
      </c>
      <c r="F614" t="s">
        <v>1462</v>
      </c>
      <c r="G614" t="s">
        <v>112</v>
      </c>
      <c r="H614" t="s">
        <v>10</v>
      </c>
      <c r="I614">
        <v>0</v>
      </c>
      <c r="J614" t="s">
        <v>1483</v>
      </c>
      <c r="K614" s="9">
        <v>1.7341</v>
      </c>
      <c r="L614" s="9">
        <v>0.2058</v>
      </c>
      <c r="M614" s="9">
        <v>0.0832</v>
      </c>
      <c r="N614" t="s">
        <v>14</v>
      </c>
      <c r="O614" s="9">
        <v>0.22</v>
      </c>
      <c r="T614" s="7">
        <v>11.87</v>
      </c>
      <c r="X614" s="10" t="s">
        <v>428</v>
      </c>
      <c r="Y614" s="11" t="s">
        <v>1484</v>
      </c>
      <c r="Z614" t="s">
        <v>522</v>
      </c>
    </row>
    <row r="615" spans="1:26">
      <c r="A615">
        <v>386</v>
      </c>
      <c r="B615" t="s">
        <v>1459</v>
      </c>
      <c r="C615" t="s">
        <v>1460</v>
      </c>
      <c r="D615" t="s">
        <v>1461</v>
      </c>
      <c r="E615" t="s">
        <v>1410</v>
      </c>
      <c r="F615" t="s">
        <v>1462</v>
      </c>
      <c r="G615" t="s">
        <v>116</v>
      </c>
      <c r="H615" t="s">
        <v>10</v>
      </c>
      <c r="I615">
        <v>0</v>
      </c>
      <c r="J615" t="s">
        <v>1485</v>
      </c>
      <c r="K615" s="9">
        <v>1.7426</v>
      </c>
      <c r="L615" s="9">
        <v>0.2509</v>
      </c>
      <c r="M615" s="9">
        <v>0.0941</v>
      </c>
      <c r="N615" t="s">
        <v>14</v>
      </c>
      <c r="O615" s="9">
        <v>0.24</v>
      </c>
      <c r="T615" s="7">
        <v>14.4</v>
      </c>
      <c r="X615" s="10" t="s">
        <v>428</v>
      </c>
      <c r="Y615" s="11" t="s">
        <v>1486</v>
      </c>
      <c r="Z615" t="s">
        <v>522</v>
      </c>
    </row>
    <row r="616" spans="1:26">
      <c r="A616">
        <v>387</v>
      </c>
      <c r="B616" t="s">
        <v>1459</v>
      </c>
      <c r="C616" t="s">
        <v>1460</v>
      </c>
      <c r="D616" t="s">
        <v>1461</v>
      </c>
      <c r="E616" t="s">
        <v>1410</v>
      </c>
      <c r="F616" t="s">
        <v>1462</v>
      </c>
      <c r="G616" t="s">
        <v>120</v>
      </c>
      <c r="H616" t="s">
        <v>10</v>
      </c>
      <c r="I616">
        <v>0</v>
      </c>
      <c r="J616" t="s">
        <v>1487</v>
      </c>
      <c r="K616" s="9">
        <v>1.8654</v>
      </c>
      <c r="L616" s="9">
        <v>0.2852</v>
      </c>
      <c r="M616" s="9">
        <v>0.2326</v>
      </c>
      <c r="N616" t="s">
        <v>14</v>
      </c>
      <c r="T616" s="7">
        <v>15.29</v>
      </c>
      <c r="X616" s="10" t="s">
        <v>436</v>
      </c>
      <c r="Y616" s="11" t="s">
        <v>1488</v>
      </c>
      <c r="Z616" t="s">
        <v>522</v>
      </c>
    </row>
    <row r="617" spans="1:26">
      <c r="A617">
        <v>388</v>
      </c>
      <c r="B617" t="s">
        <v>1459</v>
      </c>
      <c r="C617" t="s">
        <v>1460</v>
      </c>
      <c r="D617" t="s">
        <v>1461</v>
      </c>
      <c r="E617" t="s">
        <v>1410</v>
      </c>
      <c r="F617" t="s">
        <v>1462</v>
      </c>
      <c r="G617" t="s">
        <v>124</v>
      </c>
      <c r="H617" t="s">
        <v>10</v>
      </c>
      <c r="I617">
        <v>0</v>
      </c>
      <c r="J617" t="s">
        <v>1450</v>
      </c>
      <c r="K617" s="9">
        <v>1.6391</v>
      </c>
      <c r="L617" s="9">
        <v>0.2026</v>
      </c>
      <c r="M617" s="9">
        <v>-0.0059</v>
      </c>
      <c r="N617" t="s">
        <v>14</v>
      </c>
      <c r="O617" s="9">
        <v>-0.02</v>
      </c>
      <c r="T617" s="7">
        <v>12.36</v>
      </c>
      <c r="X617" s="10" t="s">
        <v>428</v>
      </c>
      <c r="Y617" s="11" t="s">
        <v>1489</v>
      </c>
      <c r="Z617" t="s">
        <v>522</v>
      </c>
    </row>
    <row r="618" spans="1:26">
      <c r="A618">
        <v>389</v>
      </c>
      <c r="B618" t="s">
        <v>1459</v>
      </c>
      <c r="C618" t="s">
        <v>1460</v>
      </c>
      <c r="D618" t="s">
        <v>1461</v>
      </c>
      <c r="E618" t="s">
        <v>1410</v>
      </c>
      <c r="F618" t="s">
        <v>1462</v>
      </c>
      <c r="G618" t="s">
        <v>128</v>
      </c>
      <c r="H618" t="s">
        <v>10</v>
      </c>
      <c r="I618">
        <v>0</v>
      </c>
      <c r="J618" t="s">
        <v>329</v>
      </c>
      <c r="K618" s="9">
        <v>1.9528</v>
      </c>
      <c r="L618" s="9">
        <v>0.336</v>
      </c>
      <c r="M618" s="9">
        <v>0.1781</v>
      </c>
      <c r="N618" t="s">
        <v>14</v>
      </c>
      <c r="O618" s="9">
        <v>0.46</v>
      </c>
      <c r="T618" s="7">
        <v>17.21</v>
      </c>
      <c r="X618" s="10" t="s">
        <v>428</v>
      </c>
      <c r="Y618" s="11" t="s">
        <v>1490</v>
      </c>
      <c r="Z618" t="s">
        <v>522</v>
      </c>
    </row>
    <row r="619" spans="1:26">
      <c r="A619">
        <v>390</v>
      </c>
      <c r="B619" t="s">
        <v>1459</v>
      </c>
      <c r="C619" t="s">
        <v>1460</v>
      </c>
      <c r="D619" t="s">
        <v>1461</v>
      </c>
      <c r="E619" t="s">
        <v>1410</v>
      </c>
      <c r="F619" t="s">
        <v>1462</v>
      </c>
      <c r="G619" t="s">
        <v>133</v>
      </c>
      <c r="H619" t="s">
        <v>10</v>
      </c>
      <c r="I619">
        <v>0</v>
      </c>
      <c r="J619" t="s">
        <v>1453</v>
      </c>
      <c r="K619" s="9">
        <v>2.0735</v>
      </c>
      <c r="L619" s="9">
        <v>0.3716</v>
      </c>
      <c r="M619" s="9">
        <v>0.1766</v>
      </c>
      <c r="N619" t="s">
        <v>14</v>
      </c>
      <c r="O619" s="9">
        <v>0.46</v>
      </c>
      <c r="T619" s="7">
        <v>17.92</v>
      </c>
      <c r="X619" s="10" t="s">
        <v>428</v>
      </c>
      <c r="Y619" s="11" t="s">
        <v>1491</v>
      </c>
      <c r="Z619" t="s">
        <v>522</v>
      </c>
    </row>
    <row r="620" spans="1:26">
      <c r="A620">
        <v>391</v>
      </c>
      <c r="B620" t="s">
        <v>1459</v>
      </c>
      <c r="C620" t="s">
        <v>1460</v>
      </c>
      <c r="D620" t="s">
        <v>1461</v>
      </c>
      <c r="E620" t="s">
        <v>1410</v>
      </c>
      <c r="F620" t="s">
        <v>1462</v>
      </c>
      <c r="G620" t="s">
        <v>137</v>
      </c>
      <c r="H620" t="s">
        <v>10</v>
      </c>
      <c r="I620">
        <v>0</v>
      </c>
      <c r="J620" t="s">
        <v>1487</v>
      </c>
      <c r="K620" s="9">
        <v>2.3464</v>
      </c>
      <c r="L620" s="9">
        <v>0.4572</v>
      </c>
      <c r="M620" s="9">
        <v>0.147</v>
      </c>
      <c r="N620" t="s">
        <v>14</v>
      </c>
      <c r="T620" s="7">
        <v>19.49</v>
      </c>
      <c r="X620" s="10" t="s">
        <v>436</v>
      </c>
      <c r="Y620" s="11" t="s">
        <v>1488</v>
      </c>
      <c r="Z620" t="s">
        <v>522</v>
      </c>
    </row>
    <row r="621" spans="1:26">
      <c r="A621">
        <v>392</v>
      </c>
      <c r="B621" t="s">
        <v>1459</v>
      </c>
      <c r="C621" t="s">
        <v>1460</v>
      </c>
      <c r="D621" t="s">
        <v>1461</v>
      </c>
      <c r="E621" t="s">
        <v>1410</v>
      </c>
      <c r="F621" t="s">
        <v>1462</v>
      </c>
      <c r="G621" t="s">
        <v>141</v>
      </c>
      <c r="H621" t="s">
        <v>10</v>
      </c>
      <c r="I621">
        <v>0</v>
      </c>
      <c r="J621" t="s">
        <v>1455</v>
      </c>
      <c r="K621" s="9">
        <v>2.036</v>
      </c>
      <c r="L621" s="9">
        <v>0.2907</v>
      </c>
      <c r="M621" s="9">
        <v>0.1645</v>
      </c>
      <c r="N621" t="s">
        <v>14</v>
      </c>
      <c r="O621" s="9">
        <v>0.42</v>
      </c>
      <c r="T621" s="7">
        <v>14.28</v>
      </c>
      <c r="X621" s="10" t="s">
        <v>428</v>
      </c>
      <c r="Y621" s="11" t="s">
        <v>1492</v>
      </c>
      <c r="Z621" t="s">
        <v>522</v>
      </c>
    </row>
    <row r="622" spans="1:26">
      <c r="A622">
        <v>393</v>
      </c>
      <c r="B622" t="s">
        <v>1459</v>
      </c>
      <c r="C622" t="s">
        <v>1460</v>
      </c>
      <c r="D622" t="s">
        <v>1461</v>
      </c>
      <c r="E622" t="s">
        <v>1410</v>
      </c>
      <c r="F622" t="s">
        <v>1462</v>
      </c>
      <c r="G622" t="s">
        <v>146</v>
      </c>
      <c r="H622" t="s">
        <v>10</v>
      </c>
      <c r="I622">
        <v>0</v>
      </c>
      <c r="J622" t="s">
        <v>251</v>
      </c>
      <c r="K622" s="9">
        <v>2.6381</v>
      </c>
      <c r="L622" s="9">
        <v>0.4424</v>
      </c>
      <c r="M622" s="9">
        <v>0.3242</v>
      </c>
      <c r="N622" t="s">
        <v>14</v>
      </c>
      <c r="O622" s="9">
        <v>0.83</v>
      </c>
      <c r="T622" s="7">
        <v>16.77</v>
      </c>
      <c r="X622" s="10" t="s">
        <v>428</v>
      </c>
      <c r="Y622" s="11" t="s">
        <v>1493</v>
      </c>
      <c r="Z622" t="s">
        <v>522</v>
      </c>
    </row>
    <row r="623" spans="1:26">
      <c r="A623">
        <v>394</v>
      </c>
      <c r="B623" t="s">
        <v>1459</v>
      </c>
      <c r="C623" t="s">
        <v>1460</v>
      </c>
      <c r="D623" t="s">
        <v>1461</v>
      </c>
      <c r="E623" t="s">
        <v>1410</v>
      </c>
      <c r="F623" t="s">
        <v>1462</v>
      </c>
      <c r="G623" t="s">
        <v>472</v>
      </c>
      <c r="H623" t="s">
        <v>10</v>
      </c>
      <c r="I623">
        <v>0</v>
      </c>
      <c r="J623" t="s">
        <v>1453</v>
      </c>
      <c r="K623" s="9">
        <v>2.6758</v>
      </c>
      <c r="L623" s="9">
        <v>0.5167</v>
      </c>
      <c r="M623" s="9">
        <v>0.3985</v>
      </c>
      <c r="N623" t="s">
        <v>14</v>
      </c>
      <c r="O623" s="9">
        <v>1.02</v>
      </c>
      <c r="T623" s="7">
        <v>19.31</v>
      </c>
      <c r="X623" s="10" t="s">
        <v>428</v>
      </c>
      <c r="Y623" s="11" t="s">
        <v>1491</v>
      </c>
      <c r="Z623" t="s">
        <v>522</v>
      </c>
    </row>
    <row r="624" spans="1:26">
      <c r="A624">
        <v>395</v>
      </c>
      <c r="B624" t="s">
        <v>1459</v>
      </c>
      <c r="C624" t="s">
        <v>1460</v>
      </c>
      <c r="D624" t="s">
        <v>1461</v>
      </c>
      <c r="E624" t="s">
        <v>1410</v>
      </c>
      <c r="F624" t="s">
        <v>1462</v>
      </c>
      <c r="G624" t="s">
        <v>475</v>
      </c>
      <c r="H624" t="s">
        <v>10</v>
      </c>
      <c r="I624">
        <v>0</v>
      </c>
      <c r="J624" t="s">
        <v>1487</v>
      </c>
      <c r="K624" s="9">
        <v>2.88</v>
      </c>
      <c r="L624" s="9">
        <v>0.5799</v>
      </c>
      <c r="M624" s="9">
        <v>0.4456</v>
      </c>
      <c r="N624" t="s">
        <v>14</v>
      </c>
      <c r="T624" s="7">
        <v>20.14</v>
      </c>
      <c r="X624" s="10" t="s">
        <v>436</v>
      </c>
      <c r="Y624" s="11" t="s">
        <v>1488</v>
      </c>
      <c r="Z624" t="s">
        <v>522</v>
      </c>
    </row>
    <row r="625" spans="1:26">
      <c r="A625">
        <v>396</v>
      </c>
      <c r="B625" t="s">
        <v>1459</v>
      </c>
      <c r="C625" t="s">
        <v>1460</v>
      </c>
      <c r="D625" t="s">
        <v>1461</v>
      </c>
      <c r="E625" t="s">
        <v>1410</v>
      </c>
      <c r="F625" t="s">
        <v>1462</v>
      </c>
      <c r="G625" t="s">
        <v>150</v>
      </c>
      <c r="H625" t="s">
        <v>10</v>
      </c>
      <c r="I625">
        <v>0</v>
      </c>
      <c r="J625" t="s">
        <v>1455</v>
      </c>
      <c r="K625" s="9">
        <v>2.6495</v>
      </c>
      <c r="L625" s="9">
        <v>0.4401</v>
      </c>
      <c r="M625" s="9">
        <v>0.3901</v>
      </c>
      <c r="N625" t="s">
        <v>14</v>
      </c>
      <c r="O625" s="9">
        <v>0.99</v>
      </c>
      <c r="T625" s="7">
        <v>16.61</v>
      </c>
      <c r="X625" s="10" t="s">
        <v>428</v>
      </c>
      <c r="Y625" s="11" t="s">
        <v>1492</v>
      </c>
      <c r="Z625" t="s">
        <v>522</v>
      </c>
    </row>
    <row r="626" spans="1:26">
      <c r="A626">
        <v>397</v>
      </c>
      <c r="B626" t="s">
        <v>1459</v>
      </c>
      <c r="C626" t="s">
        <v>1460</v>
      </c>
      <c r="D626" t="s">
        <v>1461</v>
      </c>
      <c r="E626" t="s">
        <v>1410</v>
      </c>
      <c r="F626" t="s">
        <v>1462</v>
      </c>
      <c r="G626" t="s">
        <v>155</v>
      </c>
      <c r="H626" t="s">
        <v>10</v>
      </c>
      <c r="I626">
        <v>0</v>
      </c>
      <c r="J626" t="s">
        <v>251</v>
      </c>
      <c r="K626" s="9">
        <v>3.2743</v>
      </c>
      <c r="L626" s="9">
        <v>0.6379</v>
      </c>
      <c r="M626" s="9">
        <v>0.4978</v>
      </c>
      <c r="N626" t="s">
        <v>14</v>
      </c>
      <c r="O626" s="9">
        <v>1.27</v>
      </c>
      <c r="T626" s="7">
        <v>19.48</v>
      </c>
      <c r="X626" s="10" t="s">
        <v>428</v>
      </c>
      <c r="Y626" s="11" t="s">
        <v>1493</v>
      </c>
      <c r="Z626" t="s">
        <v>522</v>
      </c>
    </row>
  </sheetData>
  <conditionalFormatting sqref="H2:H626">
    <cfRule type="containsText" dxfId="0" priority="1" operator="containsText" text="전망">
      <formula>NOT(ISERROR(SEARCH("전망",H2)))</formula>
    </cfRule>
    <cfRule type="containsText" dxfId="1" priority="2" operator="containsText" text="확정">
      <formula>NOT(ISERROR(SEARCH("확정",H2)))</formula>
    </cfRule>
  </conditionalFormatting>
  <hyperlinks>
    <hyperlink ref="Y98" r:id="rId1"/>
    <hyperlink ref="Y99" r:id="rId2"/>
    <hyperlink ref="Y100" r:id="rId3"/>
    <hyperlink ref="Y101" r:id="rId4"/>
    <hyperlink ref="Y102" r:id="rId5"/>
    <hyperlink ref="Y103" r:id="rId6"/>
    <hyperlink ref="Y104" r:id="rId7"/>
    <hyperlink ref="Y105" r:id="rId8"/>
    <hyperlink ref="Y106" r:id="rId9"/>
    <hyperlink ref="Y107" r:id="rId10"/>
    <hyperlink ref="Y108" r:id="rId11"/>
    <hyperlink ref="Y109" r:id="rId12"/>
    <hyperlink ref="Y110" r:id="rId13"/>
    <hyperlink ref="Y111" r:id="rId14"/>
    <hyperlink ref="Y112" r:id="rId15"/>
    <hyperlink ref="Y113" r:id="rId16"/>
    <hyperlink ref="Y114" r:id="rId17"/>
    <hyperlink ref="Y115" r:id="rId18"/>
    <hyperlink ref="Y116" r:id="rId19"/>
    <hyperlink ref="Y117" r:id="rId20"/>
    <hyperlink ref="Y118" r:id="rId21"/>
    <hyperlink ref="Y119" r:id="rId22"/>
    <hyperlink ref="Y120" r:id="rId23"/>
    <hyperlink ref="Y121" r:id="rId24"/>
    <hyperlink ref="Y122" r:id="rId25"/>
    <hyperlink ref="Y123" r:id="rId26"/>
    <hyperlink ref="Y124" r:id="rId27"/>
    <hyperlink ref="Y125" r:id="rId28"/>
    <hyperlink ref="Y126" r:id="rId29"/>
    <hyperlink ref="Y127" r:id="rId30"/>
    <hyperlink ref="Y128" r:id="rId31"/>
    <hyperlink ref="Y129" r:id="rId32"/>
    <hyperlink ref="Y130" r:id="rId33"/>
    <hyperlink ref="Y131" r:id="rId34"/>
    <hyperlink ref="Y132" r:id="rId35"/>
    <hyperlink ref="Y133" r:id="rId36"/>
    <hyperlink ref="Y134" r:id="rId37"/>
    <hyperlink ref="Y135" r:id="rId38"/>
    <hyperlink ref="Y136" r:id="rId39"/>
    <hyperlink ref="Y137" r:id="rId40"/>
    <hyperlink ref="Y138" r:id="rId41"/>
    <hyperlink ref="Y139" r:id="rId42"/>
    <hyperlink ref="Y140" r:id="rId43"/>
    <hyperlink ref="Y141" r:id="rId44"/>
    <hyperlink ref="Y142" r:id="rId45"/>
    <hyperlink ref="Y143" r:id="rId46"/>
    <hyperlink ref="Y144" r:id="rId47"/>
    <hyperlink ref="Y145" r:id="rId48"/>
    <hyperlink ref="Y146" r:id="rId49"/>
    <hyperlink ref="Y147" r:id="rId50"/>
    <hyperlink ref="Y148" r:id="rId51"/>
    <hyperlink ref="Y149" r:id="rId52"/>
    <hyperlink ref="Y150" r:id="rId53"/>
    <hyperlink ref="Y151" r:id="rId54"/>
    <hyperlink ref="Y152" r:id="rId55"/>
    <hyperlink ref="Y153" r:id="rId56"/>
    <hyperlink ref="Y154" r:id="rId57"/>
    <hyperlink ref="Y155" r:id="rId58"/>
    <hyperlink ref="Y156" r:id="rId59"/>
    <hyperlink ref="Y157" r:id="rId60"/>
    <hyperlink ref="Y158" r:id="rId61"/>
    <hyperlink ref="Y159" r:id="rId62"/>
    <hyperlink ref="Y160" r:id="rId63"/>
    <hyperlink ref="Y161" r:id="rId64"/>
    <hyperlink ref="Y162" r:id="rId65"/>
    <hyperlink ref="Y163" r:id="rId66"/>
    <hyperlink ref="Y164" r:id="rId67"/>
    <hyperlink ref="Y165" r:id="rId68"/>
    <hyperlink ref="Y166" r:id="rId69"/>
    <hyperlink ref="Y167" r:id="rId70"/>
    <hyperlink ref="Y168" r:id="rId71"/>
    <hyperlink ref="Y169" r:id="rId72"/>
    <hyperlink ref="Y170" r:id="rId73"/>
    <hyperlink ref="Y171" r:id="rId74"/>
    <hyperlink ref="Y172" r:id="rId75"/>
    <hyperlink ref="Y173" r:id="rId76"/>
    <hyperlink ref="Y174" r:id="rId77"/>
    <hyperlink ref="Y175" r:id="rId78"/>
    <hyperlink ref="Y176" r:id="rId79"/>
    <hyperlink ref="Y177" r:id="rId80"/>
    <hyperlink ref="Y178" r:id="rId81"/>
    <hyperlink ref="Y179" r:id="rId82"/>
    <hyperlink ref="Y180" r:id="rId83"/>
    <hyperlink ref="Y181" r:id="rId84"/>
    <hyperlink ref="Y182" r:id="rId85"/>
    <hyperlink ref="Y183" r:id="rId86"/>
    <hyperlink ref="Y184" r:id="rId87"/>
    <hyperlink ref="Y185" r:id="rId88"/>
    <hyperlink ref="Y186" r:id="rId89"/>
    <hyperlink ref="Y187" r:id="rId90"/>
    <hyperlink ref="Y188" r:id="rId91"/>
    <hyperlink ref="Y189" r:id="rId92"/>
    <hyperlink ref="Y190" r:id="rId93"/>
    <hyperlink ref="Y191" r:id="rId94"/>
    <hyperlink ref="Y192" r:id="rId95"/>
    <hyperlink ref="Y193" r:id="rId96"/>
    <hyperlink ref="Y194" r:id="rId97"/>
    <hyperlink ref="Y195" r:id="rId98"/>
    <hyperlink ref="Y196" r:id="rId99"/>
    <hyperlink ref="Y197" r:id="rId100"/>
    <hyperlink ref="Y198" r:id="rId101"/>
    <hyperlink ref="Y199" r:id="rId102"/>
    <hyperlink ref="Y200" r:id="rId103"/>
    <hyperlink ref="Y201" r:id="rId104"/>
    <hyperlink ref="Y202" r:id="rId105"/>
    <hyperlink ref="Y203" r:id="rId106"/>
    <hyperlink ref="Y204" r:id="rId107"/>
    <hyperlink ref="Y205" r:id="rId108"/>
    <hyperlink ref="Y206" r:id="rId109"/>
    <hyperlink ref="Y207" r:id="rId110"/>
    <hyperlink ref="Y208" r:id="rId111"/>
    <hyperlink ref="Y209" r:id="rId112"/>
    <hyperlink ref="Y210" r:id="rId113"/>
    <hyperlink ref="Y211" r:id="rId114"/>
    <hyperlink ref="Y212" r:id="rId115"/>
    <hyperlink ref="Y213" r:id="rId116"/>
    <hyperlink ref="Y214" r:id="rId117"/>
    <hyperlink ref="Y239" r:id="rId118"/>
    <hyperlink ref="Y240" r:id="rId119"/>
    <hyperlink ref="Y241" r:id="rId120"/>
    <hyperlink ref="Y242" r:id="rId121"/>
    <hyperlink ref="Y243" r:id="rId122"/>
    <hyperlink ref="Y244" r:id="rId123"/>
    <hyperlink ref="Y245" r:id="rId124"/>
    <hyperlink ref="Y246" r:id="rId125"/>
    <hyperlink ref="Y247" r:id="rId126"/>
    <hyperlink ref="Y248" r:id="rId127"/>
    <hyperlink ref="Y249" r:id="rId128"/>
    <hyperlink ref="Y250" r:id="rId129"/>
    <hyperlink ref="Y251" r:id="rId130"/>
    <hyperlink ref="Y252" r:id="rId131"/>
    <hyperlink ref="Y253" r:id="rId132"/>
    <hyperlink ref="Y254" r:id="rId133"/>
    <hyperlink ref="Y255" r:id="rId134"/>
    <hyperlink ref="Y256" r:id="rId135"/>
    <hyperlink ref="Y257" r:id="rId136"/>
    <hyperlink ref="Y258" r:id="rId137"/>
    <hyperlink ref="Y259" r:id="rId138"/>
    <hyperlink ref="Y260" r:id="rId139"/>
    <hyperlink ref="Y261" r:id="rId140"/>
    <hyperlink ref="Y262" r:id="rId141"/>
    <hyperlink ref="Y263" r:id="rId142"/>
    <hyperlink ref="Y264" r:id="rId143"/>
    <hyperlink ref="Y265" r:id="rId144"/>
    <hyperlink ref="Y266" r:id="rId145"/>
    <hyperlink ref="Y267" r:id="rId146"/>
    <hyperlink ref="Y268" r:id="rId147"/>
    <hyperlink ref="Y269" r:id="rId148"/>
    <hyperlink ref="Y270" r:id="rId149"/>
    <hyperlink ref="Y271" r:id="rId150"/>
    <hyperlink ref="Y272" r:id="rId151"/>
    <hyperlink ref="Y273" r:id="rId152"/>
    <hyperlink ref="Y274" r:id="rId153"/>
    <hyperlink ref="Y275" r:id="rId154"/>
    <hyperlink ref="Y276" r:id="rId155"/>
    <hyperlink ref="Y277" r:id="rId156"/>
    <hyperlink ref="Y278" r:id="rId157"/>
    <hyperlink ref="Y279" r:id="rId158"/>
    <hyperlink ref="Y280" r:id="rId159"/>
    <hyperlink ref="Y281" r:id="rId160"/>
    <hyperlink ref="Y282" r:id="rId161"/>
    <hyperlink ref="Y283" r:id="rId162"/>
    <hyperlink ref="Y284" r:id="rId163"/>
    <hyperlink ref="Y285" r:id="rId164"/>
    <hyperlink ref="Y286" r:id="rId165"/>
    <hyperlink ref="Y287" r:id="rId166"/>
    <hyperlink ref="Y288" r:id="rId167"/>
    <hyperlink ref="Y289" r:id="rId168"/>
    <hyperlink ref="Y290" r:id="rId169"/>
    <hyperlink ref="Y291" r:id="rId170"/>
    <hyperlink ref="Y292" r:id="rId171"/>
    <hyperlink ref="Y293" r:id="rId172"/>
    <hyperlink ref="Y294" r:id="rId173"/>
    <hyperlink ref="Y295" r:id="rId174"/>
    <hyperlink ref="Y296" r:id="rId175"/>
    <hyperlink ref="Y297" r:id="rId176"/>
    <hyperlink ref="Y298" r:id="rId177"/>
    <hyperlink ref="Y299" r:id="rId178"/>
    <hyperlink ref="Y300" r:id="rId179"/>
    <hyperlink ref="Y301" r:id="rId180"/>
    <hyperlink ref="Y302" r:id="rId181"/>
    <hyperlink ref="Y303" r:id="rId182"/>
    <hyperlink ref="Y304" r:id="rId183"/>
    <hyperlink ref="Y305" r:id="rId184"/>
    <hyperlink ref="Y306" r:id="rId185"/>
    <hyperlink ref="Y307" r:id="rId186"/>
    <hyperlink ref="Y308" r:id="rId187"/>
    <hyperlink ref="Y309" r:id="rId188"/>
    <hyperlink ref="Y310" r:id="rId189"/>
    <hyperlink ref="Y311" r:id="rId190"/>
    <hyperlink ref="Y312" r:id="rId191"/>
    <hyperlink ref="Y313" r:id="rId192"/>
    <hyperlink ref="Y314" r:id="rId193"/>
    <hyperlink ref="Y315" r:id="rId194"/>
    <hyperlink ref="Y316" r:id="rId195"/>
    <hyperlink ref="Y317" r:id="rId196"/>
    <hyperlink ref="Y318" r:id="rId197"/>
    <hyperlink ref="Y319" r:id="rId198"/>
    <hyperlink ref="Y320" r:id="rId199"/>
    <hyperlink ref="Y321" r:id="rId200"/>
    <hyperlink ref="Y322" r:id="rId201"/>
    <hyperlink ref="Y323" r:id="rId202"/>
    <hyperlink ref="Y324" r:id="rId203"/>
    <hyperlink ref="Y325" r:id="rId204"/>
    <hyperlink ref="Y326" r:id="rId205"/>
    <hyperlink ref="Y327" r:id="rId206"/>
    <hyperlink ref="Y328" r:id="rId207"/>
    <hyperlink ref="Y329" r:id="rId208"/>
    <hyperlink ref="Y330" r:id="rId209"/>
    <hyperlink ref="Y331" r:id="rId210"/>
    <hyperlink ref="Y332" r:id="rId211"/>
    <hyperlink ref="Y333" r:id="rId212"/>
    <hyperlink ref="Y334" r:id="rId213"/>
    <hyperlink ref="Y335" r:id="rId214"/>
    <hyperlink ref="Y336" r:id="rId215"/>
    <hyperlink ref="Y337" r:id="rId216"/>
    <hyperlink ref="Y338" r:id="rId217"/>
    <hyperlink ref="Y363" r:id="rId218"/>
    <hyperlink ref="Y364" r:id="rId219"/>
    <hyperlink ref="Y365" r:id="rId220"/>
    <hyperlink ref="Y366" r:id="rId221"/>
    <hyperlink ref="Y367" r:id="rId222"/>
    <hyperlink ref="Y368" r:id="rId223"/>
    <hyperlink ref="Y369" r:id="rId224"/>
    <hyperlink ref="Y370" r:id="rId225"/>
    <hyperlink ref="Y371" r:id="rId226"/>
    <hyperlink ref="Y372" r:id="rId227"/>
    <hyperlink ref="Y373" r:id="rId228"/>
    <hyperlink ref="Y374" r:id="rId229"/>
    <hyperlink ref="Y375" r:id="rId230"/>
    <hyperlink ref="Y376" r:id="rId231"/>
    <hyperlink ref="Y377" r:id="rId232"/>
    <hyperlink ref="Y378" r:id="rId233"/>
    <hyperlink ref="Y379" r:id="rId234"/>
    <hyperlink ref="Y380" r:id="rId235"/>
    <hyperlink ref="Y381" r:id="rId236"/>
    <hyperlink ref="Y382" r:id="rId237"/>
    <hyperlink ref="Y383" r:id="rId238"/>
    <hyperlink ref="Y384" r:id="rId239"/>
    <hyperlink ref="Y385" r:id="rId240"/>
    <hyperlink ref="Y386" r:id="rId241"/>
    <hyperlink ref="Y387" r:id="rId242"/>
    <hyperlink ref="Y388" r:id="rId243"/>
    <hyperlink ref="Y389" r:id="rId244"/>
    <hyperlink ref="Y390" r:id="rId245"/>
    <hyperlink ref="Y439" r:id="rId246"/>
    <hyperlink ref="Y440" r:id="rId247"/>
    <hyperlink ref="Y441" r:id="rId248"/>
    <hyperlink ref="Y442" r:id="rId249"/>
    <hyperlink ref="Y443" r:id="rId250"/>
    <hyperlink ref="Y444" r:id="rId251"/>
    <hyperlink ref="Y445" r:id="rId252"/>
    <hyperlink ref="Y446" r:id="rId253"/>
    <hyperlink ref="Y447" r:id="rId254"/>
    <hyperlink ref="Y448" r:id="rId255"/>
    <hyperlink ref="Y449" r:id="rId256"/>
    <hyperlink ref="Y450" r:id="rId257"/>
    <hyperlink ref="Y451" r:id="rId258"/>
    <hyperlink ref="Y452" r:id="rId259"/>
    <hyperlink ref="Y453" r:id="rId260"/>
    <hyperlink ref="Y454" r:id="rId261"/>
    <hyperlink ref="Y455" r:id="rId262"/>
    <hyperlink ref="Y456" r:id="rId263"/>
    <hyperlink ref="Y457" r:id="rId264"/>
    <hyperlink ref="Y458" r:id="rId265"/>
    <hyperlink ref="Y459" r:id="rId266"/>
    <hyperlink ref="Y460" r:id="rId267"/>
    <hyperlink ref="Y461" r:id="rId268"/>
    <hyperlink ref="Y462" r:id="rId269"/>
    <hyperlink ref="Y463" r:id="rId270"/>
    <hyperlink ref="Y464" r:id="rId271"/>
    <hyperlink ref="Y465" r:id="rId272"/>
    <hyperlink ref="Y466" r:id="rId273"/>
    <hyperlink ref="Y467" r:id="rId274"/>
    <hyperlink ref="Y468" r:id="rId275"/>
    <hyperlink ref="Y469" r:id="rId276"/>
    <hyperlink ref="Y470" r:id="rId277"/>
    <hyperlink ref="Y471" r:id="rId278"/>
    <hyperlink ref="Y472" r:id="rId279"/>
    <hyperlink ref="Y473" r:id="rId280"/>
    <hyperlink ref="Y474" r:id="rId281"/>
    <hyperlink ref="Y475" r:id="rId282"/>
    <hyperlink ref="Y476" r:id="rId283"/>
    <hyperlink ref="Y477" r:id="rId284"/>
    <hyperlink ref="Y478" r:id="rId285"/>
    <hyperlink ref="Y479" r:id="rId286"/>
    <hyperlink ref="Y480" r:id="rId287"/>
    <hyperlink ref="Y481" r:id="rId288"/>
    <hyperlink ref="Y482" r:id="rId289"/>
    <hyperlink ref="Y483" r:id="rId290"/>
    <hyperlink ref="Y484" r:id="rId291"/>
    <hyperlink ref="Y485" r:id="rId292"/>
    <hyperlink ref="Y486" r:id="rId293"/>
    <hyperlink ref="Y487" r:id="rId294"/>
    <hyperlink ref="Y488" r:id="rId295"/>
    <hyperlink ref="Y489" r:id="rId296"/>
    <hyperlink ref="Y490" r:id="rId297"/>
    <hyperlink ref="Y491" r:id="rId298"/>
    <hyperlink ref="Y492" r:id="rId299"/>
    <hyperlink ref="Y493" r:id="rId300"/>
    <hyperlink ref="Y494" r:id="rId301"/>
    <hyperlink ref="Y495" r:id="rId302"/>
    <hyperlink ref="Y496" r:id="rId303"/>
    <hyperlink ref="Y497" r:id="rId304"/>
    <hyperlink ref="Y498" r:id="rId305"/>
    <hyperlink ref="Y499" r:id="rId306"/>
    <hyperlink ref="Y500" r:id="rId307"/>
    <hyperlink ref="Y501" r:id="rId308"/>
    <hyperlink ref="Y502" r:id="rId309"/>
    <hyperlink ref="Y503" r:id="rId310"/>
    <hyperlink ref="Y504" r:id="rId311"/>
    <hyperlink ref="Y505" r:id="rId312"/>
    <hyperlink ref="Y506" r:id="rId313"/>
    <hyperlink ref="Y507" r:id="rId314"/>
    <hyperlink ref="Y508" r:id="rId315"/>
    <hyperlink ref="Y509" r:id="rId316"/>
    <hyperlink ref="Y510" r:id="rId317"/>
    <hyperlink ref="Y511" r:id="rId318"/>
    <hyperlink ref="Y512" r:id="rId319"/>
    <hyperlink ref="Y513" r:id="rId320"/>
    <hyperlink ref="Y514" r:id="rId321"/>
    <hyperlink ref="Y515" r:id="rId322"/>
    <hyperlink ref="Y516" r:id="rId323"/>
    <hyperlink ref="Y517" r:id="rId324"/>
    <hyperlink ref="Y518" r:id="rId325"/>
    <hyperlink ref="Y519" r:id="rId326"/>
    <hyperlink ref="Y520" r:id="rId327"/>
    <hyperlink ref="Y521" r:id="rId328"/>
    <hyperlink ref="Y522" r:id="rId329"/>
    <hyperlink ref="Y523" r:id="rId330"/>
    <hyperlink ref="Y524" r:id="rId331"/>
    <hyperlink ref="Y525" r:id="rId332"/>
    <hyperlink ref="Y526" r:id="rId333"/>
    <hyperlink ref="Y527" r:id="rId334"/>
    <hyperlink ref="Y528" r:id="rId335"/>
    <hyperlink ref="Y529" r:id="rId336"/>
    <hyperlink ref="Y530" r:id="rId337"/>
    <hyperlink ref="Y531" r:id="rId338"/>
    <hyperlink ref="Y532" r:id="rId339"/>
    <hyperlink ref="Y533" r:id="rId340"/>
    <hyperlink ref="Y534" r:id="rId341"/>
    <hyperlink ref="Y535" r:id="rId342"/>
    <hyperlink ref="Y536" r:id="rId343"/>
    <hyperlink ref="Y537" r:id="rId344"/>
    <hyperlink ref="Y538" r:id="rId345"/>
    <hyperlink ref="Y539" r:id="rId346"/>
    <hyperlink ref="Y540" r:id="rId347"/>
    <hyperlink ref="Y541" r:id="rId348"/>
    <hyperlink ref="Y542" r:id="rId349"/>
    <hyperlink ref="Y543" r:id="rId350"/>
    <hyperlink ref="Y544" r:id="rId351"/>
    <hyperlink ref="Y545" r:id="rId352"/>
    <hyperlink ref="Y546" r:id="rId353"/>
    <hyperlink ref="Y547" r:id="rId354"/>
    <hyperlink ref="Y548" r:id="rId355"/>
    <hyperlink ref="Y549" r:id="rId356"/>
    <hyperlink ref="Y550" r:id="rId357"/>
    <hyperlink ref="Y551" r:id="rId358"/>
    <hyperlink ref="Y552" r:id="rId359"/>
    <hyperlink ref="Y553" r:id="rId360"/>
    <hyperlink ref="Y554" r:id="rId361"/>
    <hyperlink ref="Y555" r:id="rId362"/>
    <hyperlink ref="Y556" r:id="rId363"/>
    <hyperlink ref="Y557" r:id="rId364"/>
    <hyperlink ref="Y558" r:id="rId365"/>
    <hyperlink ref="Y559" r:id="rId366"/>
    <hyperlink ref="Y560" r:id="rId367"/>
    <hyperlink ref="Y561" r:id="rId368"/>
    <hyperlink ref="Y562" r:id="rId369"/>
    <hyperlink ref="Y563" r:id="rId370"/>
    <hyperlink ref="Y564" r:id="rId371"/>
    <hyperlink ref="Y565" r:id="rId372"/>
    <hyperlink ref="Y566" r:id="rId373"/>
    <hyperlink ref="Y567" r:id="rId374"/>
    <hyperlink ref="Y568" r:id="rId375"/>
    <hyperlink ref="Y569" r:id="rId376"/>
    <hyperlink ref="Y570" r:id="rId377"/>
    <hyperlink ref="Y571" r:id="rId378"/>
    <hyperlink ref="Y572" r:id="rId379"/>
    <hyperlink ref="Y573" r:id="rId380"/>
    <hyperlink ref="Y574" r:id="rId381"/>
    <hyperlink ref="Y575" r:id="rId382"/>
    <hyperlink ref="Y576" r:id="rId383"/>
    <hyperlink ref="Y577" r:id="rId384"/>
    <hyperlink ref="Y578" r:id="rId385"/>
    <hyperlink ref="Y579" r:id="rId386"/>
    <hyperlink ref="Y580" r:id="rId387"/>
    <hyperlink ref="Y581" r:id="rId388"/>
    <hyperlink ref="Y582" r:id="rId389"/>
    <hyperlink ref="Y583" r:id="rId390"/>
    <hyperlink ref="Y584" r:id="rId391"/>
    <hyperlink ref="Y585" r:id="rId392"/>
    <hyperlink ref="Y586" r:id="rId393"/>
    <hyperlink ref="Y587" r:id="rId394"/>
    <hyperlink ref="Y588" r:id="rId395"/>
    <hyperlink ref="Y589" r:id="rId396"/>
    <hyperlink ref="Y590" r:id="rId397"/>
    <hyperlink ref="Y591" r:id="rId398"/>
    <hyperlink ref="Y592" r:id="rId399"/>
    <hyperlink ref="Y593" r:id="rId400"/>
    <hyperlink ref="Y594" r:id="rId401"/>
    <hyperlink ref="Y595" r:id="rId402"/>
    <hyperlink ref="Y596" r:id="rId403"/>
    <hyperlink ref="Y597" r:id="rId404"/>
    <hyperlink ref="Y598" r:id="rId405"/>
    <hyperlink ref="Y599" r:id="rId406"/>
    <hyperlink ref="Y600" r:id="rId407"/>
    <hyperlink ref="Y601" r:id="rId408"/>
    <hyperlink ref="Y602" r:id="rId409"/>
    <hyperlink ref="Y603" r:id="rId410"/>
    <hyperlink ref="Y604" r:id="rId411"/>
    <hyperlink ref="Y605" r:id="rId412"/>
    <hyperlink ref="Y606" r:id="rId413"/>
    <hyperlink ref="Y607" r:id="rId414"/>
    <hyperlink ref="Y608" r:id="rId415"/>
    <hyperlink ref="Y609" r:id="rId416"/>
    <hyperlink ref="Y610" r:id="rId417"/>
    <hyperlink ref="Y611" r:id="rId418"/>
    <hyperlink ref="Y612" r:id="rId419"/>
    <hyperlink ref="Y613" r:id="rId420"/>
    <hyperlink ref="Y614" r:id="rId421"/>
    <hyperlink ref="Y615" r:id="rId422"/>
    <hyperlink ref="Y616" r:id="rId423"/>
    <hyperlink ref="Y617" r:id="rId424"/>
    <hyperlink ref="Y618" r:id="rId425"/>
    <hyperlink ref="Y619" r:id="rId426"/>
    <hyperlink ref="Y620" r:id="rId427"/>
    <hyperlink ref="Y621" r:id="rId428"/>
    <hyperlink ref="Y622" r:id="rId429"/>
    <hyperlink ref="Y623" r:id="rId430"/>
    <hyperlink ref="Y624" r:id="rId431"/>
    <hyperlink ref="Y625" r:id="rId432"/>
    <hyperlink ref="Y626" r:id="rId433"/>
  </hyperlinks>
  <pageMargins left="0.7" right="0.7" top="0.75" bottom="0.75" header="0.3" footer="0.3"/>
  <tableParts count="1">
    <tablePart r:id="rId434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C000"/>
  </sheetPr>
  <dimension ref="A1:Z18"/>
  <sheetViews>
    <sheetView showGridLines="0"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/>
  <cols>
    <col min="1" max="1" width="8.7109375" customWidth="1"/>
    <col min="2" max="2" width="17.7109375" customWidth="1"/>
    <col min="3" max="3" width="16.7109375" customWidth="1"/>
    <col min="4" max="4" width="19.7109375" customWidth="1"/>
    <col min="5" max="5" width="18.7109375" customWidth="1"/>
    <col min="6" max="6" width="12.7109375" customWidth="1"/>
    <col min="7" max="7" width="11.7109375" customWidth="1"/>
    <col min="8" max="8" width="8.7109375" customWidth="1"/>
    <col min="9" max="9" width="11.7109375" customWidth="1"/>
    <col min="10" max="10" width="12.7109375" customWidth="1"/>
    <col min="11" max="13" width="14.7109375" style="9" customWidth="1"/>
    <col min="14" max="14" width="10.7109375" customWidth="1"/>
    <col min="15" max="15" width="12.7109375" style="9" customWidth="1"/>
    <col min="16" max="16" width="14.7109375" style="9" customWidth="1"/>
    <col min="17" max="17" width="16.7109375" style="9" customWidth="1"/>
    <col min="18" max="18" width="14.7109375" customWidth="1"/>
    <col min="19" max="20" width="16.7109375" style="7" customWidth="1"/>
    <col min="21" max="21" width="14.7109375" style="9" customWidth="1"/>
    <col min="22" max="25" width="9.140625" style="10"/>
    <col min="26" max="26" width="20.7109375" customWidth="1"/>
  </cols>
  <sheetData>
    <row r="1" spans="1:26" ht="32" customHeight="1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7</v>
      </c>
      <c r="I1" s="6" t="s">
        <v>28</v>
      </c>
      <c r="J1" s="6" t="s">
        <v>29</v>
      </c>
      <c r="K1" s="6" t="s">
        <v>30</v>
      </c>
      <c r="L1" s="6" t="s">
        <v>31</v>
      </c>
      <c r="M1" s="6" t="s">
        <v>32</v>
      </c>
      <c r="N1" s="6" t="s">
        <v>13</v>
      </c>
      <c r="O1" s="6" t="s">
        <v>33</v>
      </c>
      <c r="P1" s="6" t="s">
        <v>34</v>
      </c>
      <c r="Q1" s="6" t="s">
        <v>35</v>
      </c>
      <c r="R1" s="6" t="s">
        <v>36</v>
      </c>
      <c r="S1" s="6" t="s">
        <v>37</v>
      </c>
      <c r="T1" s="6" t="s">
        <v>38</v>
      </c>
      <c r="U1" s="6" t="s">
        <v>39</v>
      </c>
      <c r="V1" s="6" t="s">
        <v>40</v>
      </c>
      <c r="W1" s="6" t="s">
        <v>41</v>
      </c>
      <c r="X1" s="6" t="s">
        <v>42</v>
      </c>
      <c r="Y1" s="6" t="s">
        <v>43</v>
      </c>
      <c r="Z1" s="6" t="s">
        <v>44</v>
      </c>
    </row>
    <row r="2" spans="1:26">
      <c r="A2">
        <v>207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159</v>
      </c>
      <c r="H2" t="s">
        <v>11</v>
      </c>
      <c r="I2">
        <v>1</v>
      </c>
      <c r="K2" s="9">
        <v>210</v>
      </c>
      <c r="L2" s="9">
        <v>28</v>
      </c>
      <c r="M2" s="9">
        <v>25.5</v>
      </c>
      <c r="N2" t="s">
        <v>14</v>
      </c>
      <c r="O2" s="9">
        <v>2.35</v>
      </c>
      <c r="P2" s="9">
        <v>2.2</v>
      </c>
      <c r="Q2" s="9">
        <v>206</v>
      </c>
      <c r="S2" s="7">
        <v>52.5</v>
      </c>
      <c r="V2" s="10" t="s">
        <v>160</v>
      </c>
      <c r="X2" s="10" t="s">
        <v>161</v>
      </c>
      <c r="Y2" s="10" t="s">
        <v>162</v>
      </c>
      <c r="Z2" t="s">
        <v>56</v>
      </c>
    </row>
    <row r="3" spans="1:26">
      <c r="A3">
        <v>208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163</v>
      </c>
      <c r="H3" t="s">
        <v>11</v>
      </c>
      <c r="I3">
        <v>1</v>
      </c>
      <c r="K3" s="9">
        <v>245</v>
      </c>
      <c r="L3" s="9">
        <v>33</v>
      </c>
      <c r="M3" s="9">
        <v>30</v>
      </c>
      <c r="N3" t="s">
        <v>14</v>
      </c>
      <c r="O3" s="9">
        <v>2.75</v>
      </c>
      <c r="P3" s="9">
        <v>2.58</v>
      </c>
      <c r="Q3" s="9">
        <v>240</v>
      </c>
      <c r="S3" s="7">
        <v>50.5</v>
      </c>
      <c r="V3" s="10" t="s">
        <v>160</v>
      </c>
      <c r="X3" s="10" t="s">
        <v>164</v>
      </c>
      <c r="Y3" s="10" t="s">
        <v>162</v>
      </c>
      <c r="Z3" t="s">
        <v>56</v>
      </c>
    </row>
    <row r="4" spans="1:26">
      <c r="A4">
        <v>155</v>
      </c>
      <c r="B4" t="s">
        <v>165</v>
      </c>
      <c r="C4" t="s">
        <v>166</v>
      </c>
      <c r="D4" t="s">
        <v>167</v>
      </c>
      <c r="E4" t="s">
        <v>48</v>
      </c>
      <c r="F4" t="s">
        <v>168</v>
      </c>
      <c r="G4" t="s">
        <v>159</v>
      </c>
      <c r="H4" t="s">
        <v>11</v>
      </c>
      <c r="I4">
        <v>1</v>
      </c>
      <c r="K4" s="9">
        <v>125</v>
      </c>
      <c r="L4" s="9">
        <v>43.5</v>
      </c>
      <c r="M4" s="9">
        <v>39.5</v>
      </c>
      <c r="N4" t="s">
        <v>14</v>
      </c>
      <c r="O4" s="9">
        <v>3.2</v>
      </c>
      <c r="P4" s="9">
        <v>3.05</v>
      </c>
      <c r="Q4" s="9">
        <v>122</v>
      </c>
      <c r="S4" s="7">
        <v>59.5</v>
      </c>
      <c r="V4" s="10" t="s">
        <v>254</v>
      </c>
      <c r="X4" s="10" t="s">
        <v>255</v>
      </c>
      <c r="Y4" s="10" t="s">
        <v>162</v>
      </c>
      <c r="Z4" t="s">
        <v>56</v>
      </c>
    </row>
    <row r="5" spans="1:26">
      <c r="A5">
        <v>156</v>
      </c>
      <c r="B5" t="s">
        <v>165</v>
      </c>
      <c r="C5" t="s">
        <v>166</v>
      </c>
      <c r="D5" t="s">
        <v>167</v>
      </c>
      <c r="E5" t="s">
        <v>48</v>
      </c>
      <c r="F5" t="s">
        <v>168</v>
      </c>
      <c r="G5" t="s">
        <v>163</v>
      </c>
      <c r="H5" t="s">
        <v>11</v>
      </c>
      <c r="I5">
        <v>1</v>
      </c>
      <c r="K5" s="9">
        <v>135</v>
      </c>
      <c r="L5" s="9">
        <v>47</v>
      </c>
      <c r="M5" s="9">
        <v>42.5</v>
      </c>
      <c r="N5" t="s">
        <v>14</v>
      </c>
      <c r="O5" s="9">
        <v>3.45</v>
      </c>
      <c r="P5" s="9">
        <v>3.3</v>
      </c>
      <c r="Q5" s="9">
        <v>132</v>
      </c>
      <c r="S5" s="7">
        <v>59</v>
      </c>
      <c r="V5" s="10" t="s">
        <v>256</v>
      </c>
      <c r="X5" s="10" t="s">
        <v>257</v>
      </c>
      <c r="Y5" s="10" t="s">
        <v>162</v>
      </c>
      <c r="Z5" t="s">
        <v>56</v>
      </c>
    </row>
    <row r="6" spans="1:26">
      <c r="A6">
        <v>181</v>
      </c>
      <c r="B6" t="s">
        <v>258</v>
      </c>
      <c r="C6" t="s">
        <v>259</v>
      </c>
      <c r="D6" t="s">
        <v>260</v>
      </c>
      <c r="E6" t="s">
        <v>48</v>
      </c>
      <c r="F6" t="s">
        <v>258</v>
      </c>
      <c r="G6" t="s">
        <v>159</v>
      </c>
      <c r="H6" t="s">
        <v>11</v>
      </c>
      <c r="I6">
        <v>1</v>
      </c>
      <c r="K6" s="9">
        <v>63</v>
      </c>
      <c r="L6" s="9">
        <v>28.5</v>
      </c>
      <c r="M6" s="9">
        <v>26.2</v>
      </c>
      <c r="N6" t="s">
        <v>14</v>
      </c>
      <c r="O6" s="9">
        <v>10.1</v>
      </c>
      <c r="P6" s="9">
        <v>9.6</v>
      </c>
      <c r="Q6" s="9">
        <v>61.5</v>
      </c>
      <c r="S6" s="7">
        <v>83.5</v>
      </c>
      <c r="V6" s="10" t="s">
        <v>339</v>
      </c>
      <c r="X6" s="10" t="s">
        <v>340</v>
      </c>
      <c r="Y6" s="10" t="s">
        <v>162</v>
      </c>
      <c r="Z6" t="s">
        <v>56</v>
      </c>
    </row>
    <row r="7" spans="1:26">
      <c r="A7">
        <v>182</v>
      </c>
      <c r="B7" t="s">
        <v>258</v>
      </c>
      <c r="C7" t="s">
        <v>259</v>
      </c>
      <c r="D7" t="s">
        <v>260</v>
      </c>
      <c r="E7" t="s">
        <v>48</v>
      </c>
      <c r="F7" t="s">
        <v>258</v>
      </c>
      <c r="G7" t="s">
        <v>163</v>
      </c>
      <c r="H7" t="s">
        <v>11</v>
      </c>
      <c r="I7">
        <v>1</v>
      </c>
      <c r="K7" s="9">
        <v>72</v>
      </c>
      <c r="L7" s="9">
        <v>33</v>
      </c>
      <c r="M7" s="9">
        <v>30.5</v>
      </c>
      <c r="N7" t="s">
        <v>14</v>
      </c>
      <c r="O7" s="9">
        <v>11.7</v>
      </c>
      <c r="P7" s="9">
        <v>11</v>
      </c>
      <c r="Q7" s="9">
        <v>70</v>
      </c>
      <c r="S7" s="7">
        <v>83</v>
      </c>
      <c r="V7" s="10" t="s">
        <v>339</v>
      </c>
      <c r="X7" s="10" t="s">
        <v>341</v>
      </c>
      <c r="Y7" s="10" t="s">
        <v>162</v>
      </c>
      <c r="Z7" t="s">
        <v>56</v>
      </c>
    </row>
    <row r="8" spans="1:26">
      <c r="A8">
        <v>129</v>
      </c>
      <c r="B8" t="s">
        <v>342</v>
      </c>
      <c r="C8" t="s">
        <v>343</v>
      </c>
      <c r="D8" t="s">
        <v>344</v>
      </c>
      <c r="E8" t="s">
        <v>48</v>
      </c>
      <c r="F8" t="s">
        <v>345</v>
      </c>
      <c r="G8" t="s">
        <v>159</v>
      </c>
      <c r="H8" t="s">
        <v>11</v>
      </c>
      <c r="I8">
        <v>1</v>
      </c>
      <c r="K8" s="9">
        <v>86</v>
      </c>
      <c r="L8" s="9">
        <v>41</v>
      </c>
      <c r="M8" s="9">
        <v>32.8</v>
      </c>
      <c r="N8" t="s">
        <v>14</v>
      </c>
      <c r="O8" s="9">
        <v>4.35</v>
      </c>
      <c r="P8" s="9">
        <v>4.18</v>
      </c>
      <c r="Q8" s="9">
        <v>84</v>
      </c>
      <c r="S8" s="7">
        <v>71</v>
      </c>
      <c r="V8" s="10" t="s">
        <v>420</v>
      </c>
      <c r="X8" s="10" t="s">
        <v>421</v>
      </c>
      <c r="Y8" s="10" t="s">
        <v>162</v>
      </c>
      <c r="Z8" t="s">
        <v>56</v>
      </c>
    </row>
    <row r="9" spans="1:26">
      <c r="A9">
        <v>130</v>
      </c>
      <c r="B9" t="s">
        <v>342</v>
      </c>
      <c r="C9" t="s">
        <v>343</v>
      </c>
      <c r="D9" t="s">
        <v>344</v>
      </c>
      <c r="E9" t="s">
        <v>48</v>
      </c>
      <c r="F9" t="s">
        <v>345</v>
      </c>
      <c r="G9" t="s">
        <v>163</v>
      </c>
      <c r="H9" t="s">
        <v>11</v>
      </c>
      <c r="I9">
        <v>1</v>
      </c>
      <c r="K9" s="9">
        <v>91</v>
      </c>
      <c r="L9" s="9">
        <v>43.5</v>
      </c>
      <c r="M9" s="9">
        <v>35</v>
      </c>
      <c r="N9" t="s">
        <v>14</v>
      </c>
      <c r="O9" s="9">
        <v>4.62</v>
      </c>
      <c r="P9" s="9">
        <v>4.42</v>
      </c>
      <c r="Q9" s="9">
        <v>89</v>
      </c>
      <c r="S9" s="7">
        <v>70.5</v>
      </c>
      <c r="V9" s="10" t="s">
        <v>420</v>
      </c>
      <c r="X9" s="10" t="s">
        <v>422</v>
      </c>
      <c r="Y9" s="10" t="s">
        <v>162</v>
      </c>
      <c r="Z9" t="s">
        <v>56</v>
      </c>
    </row>
    <row r="10" spans="1:26">
      <c r="A10">
        <v>25</v>
      </c>
      <c r="B10" t="s">
        <v>627</v>
      </c>
      <c r="C10" t="s">
        <v>628</v>
      </c>
      <c r="D10" t="s">
        <v>627</v>
      </c>
      <c r="E10" t="s">
        <v>477</v>
      </c>
      <c r="F10" t="s">
        <v>629</v>
      </c>
      <c r="G10" t="s">
        <v>159</v>
      </c>
      <c r="H10" t="s">
        <v>11</v>
      </c>
      <c r="I10">
        <v>1</v>
      </c>
      <c r="K10" s="9">
        <v>67</v>
      </c>
      <c r="L10" s="9">
        <v>44</v>
      </c>
      <c r="M10" s="9">
        <v>38</v>
      </c>
      <c r="N10" t="s">
        <v>14</v>
      </c>
      <c r="O10" s="9">
        <v>1.62</v>
      </c>
      <c r="P10" s="9">
        <v>1.55</v>
      </c>
      <c r="Q10" s="9">
        <v>65</v>
      </c>
      <c r="S10" s="7">
        <v>75</v>
      </c>
      <c r="V10" s="10" t="s">
        <v>725</v>
      </c>
      <c r="X10" s="10" t="s">
        <v>726</v>
      </c>
      <c r="Y10" s="10" t="s">
        <v>727</v>
      </c>
      <c r="Z10" t="s">
        <v>56</v>
      </c>
    </row>
    <row r="11" spans="1:26">
      <c r="A11">
        <v>26</v>
      </c>
      <c r="B11" t="s">
        <v>627</v>
      </c>
      <c r="C11" t="s">
        <v>628</v>
      </c>
      <c r="D11" t="s">
        <v>627</v>
      </c>
      <c r="E11" t="s">
        <v>477</v>
      </c>
      <c r="F11" t="s">
        <v>629</v>
      </c>
      <c r="G11" t="s">
        <v>163</v>
      </c>
      <c r="H11" t="s">
        <v>11</v>
      </c>
      <c r="I11">
        <v>1</v>
      </c>
      <c r="K11" s="9">
        <v>72</v>
      </c>
      <c r="L11" s="9">
        <v>47.5</v>
      </c>
      <c r="M11" s="9">
        <v>40.5</v>
      </c>
      <c r="N11" t="s">
        <v>14</v>
      </c>
      <c r="O11" s="9">
        <v>1.73</v>
      </c>
      <c r="P11" s="9">
        <v>1.65</v>
      </c>
      <c r="Q11" s="9">
        <v>70</v>
      </c>
      <c r="S11" s="7">
        <v>75.5</v>
      </c>
      <c r="V11" s="10" t="s">
        <v>728</v>
      </c>
      <c r="X11" s="10" t="s">
        <v>729</v>
      </c>
      <c r="Y11" s="10" t="s">
        <v>727</v>
      </c>
      <c r="Z11" t="s">
        <v>56</v>
      </c>
    </row>
    <row r="12" spans="1:26">
      <c r="A12">
        <v>103</v>
      </c>
      <c r="B12" t="s">
        <v>893</v>
      </c>
      <c r="C12" t="s">
        <v>893</v>
      </c>
      <c r="D12" t="s">
        <v>893</v>
      </c>
      <c r="E12" t="s">
        <v>733</v>
      </c>
      <c r="F12" t="s">
        <v>894</v>
      </c>
      <c r="G12" t="s">
        <v>159</v>
      </c>
      <c r="H12" t="s">
        <v>11</v>
      </c>
      <c r="I12">
        <v>1</v>
      </c>
      <c r="K12" s="9">
        <v>39</v>
      </c>
      <c r="L12" s="9">
        <v>19.3</v>
      </c>
      <c r="M12" s="9">
        <v>17.4</v>
      </c>
      <c r="N12" t="s">
        <v>14</v>
      </c>
      <c r="O12" s="9">
        <v>3.22</v>
      </c>
      <c r="P12" s="9">
        <v>3.08</v>
      </c>
      <c r="Q12" s="9">
        <v>37.8</v>
      </c>
      <c r="S12" s="7">
        <v>59.8</v>
      </c>
      <c r="V12" s="10" t="s">
        <v>991</v>
      </c>
      <c r="X12" s="10" t="s">
        <v>992</v>
      </c>
      <c r="Y12" s="10" t="s">
        <v>162</v>
      </c>
      <c r="Z12" t="s">
        <v>56</v>
      </c>
    </row>
    <row r="13" spans="1:26">
      <c r="A13">
        <v>104</v>
      </c>
      <c r="B13" t="s">
        <v>893</v>
      </c>
      <c r="C13" t="s">
        <v>893</v>
      </c>
      <c r="D13" t="s">
        <v>893</v>
      </c>
      <c r="E13" t="s">
        <v>733</v>
      </c>
      <c r="F13" t="s">
        <v>894</v>
      </c>
      <c r="G13" t="s">
        <v>163</v>
      </c>
      <c r="H13" t="s">
        <v>11</v>
      </c>
      <c r="I13">
        <v>1</v>
      </c>
      <c r="K13" s="9">
        <v>41.5</v>
      </c>
      <c r="L13" s="9">
        <v>20.5</v>
      </c>
      <c r="M13" s="9">
        <v>18.5</v>
      </c>
      <c r="N13" t="s">
        <v>14</v>
      </c>
      <c r="O13" s="9">
        <v>3.42</v>
      </c>
      <c r="P13" s="9">
        <v>3.28</v>
      </c>
      <c r="Q13" s="9">
        <v>40.2</v>
      </c>
      <c r="S13" s="7">
        <v>60</v>
      </c>
      <c r="V13" s="10" t="s">
        <v>993</v>
      </c>
      <c r="X13" s="10" t="s">
        <v>994</v>
      </c>
      <c r="Y13" s="10" t="s">
        <v>162</v>
      </c>
      <c r="Z13" t="s">
        <v>56</v>
      </c>
    </row>
    <row r="14" spans="1:26">
      <c r="A14">
        <v>401</v>
      </c>
      <c r="B14" t="s">
        <v>995</v>
      </c>
      <c r="C14" t="s">
        <v>996</v>
      </c>
      <c r="D14" t="s">
        <v>997</v>
      </c>
      <c r="E14" t="s">
        <v>998</v>
      </c>
      <c r="F14" t="s">
        <v>999</v>
      </c>
      <c r="G14" t="s">
        <v>159</v>
      </c>
      <c r="H14" t="s">
        <v>11</v>
      </c>
      <c r="I14">
        <v>1</v>
      </c>
      <c r="K14" s="9">
        <v>14.75308641975309</v>
      </c>
      <c r="L14" s="9">
        <v>11.66666666666667</v>
      </c>
      <c r="M14" s="9">
        <v>7.839506172839506</v>
      </c>
      <c r="N14" t="s">
        <v>14</v>
      </c>
      <c r="T14" s="7">
        <v>79.08</v>
      </c>
      <c r="X14" s="10" t="s">
        <v>1008</v>
      </c>
      <c r="Y14" s="11" t="s">
        <v>1001</v>
      </c>
      <c r="Z14" t="s">
        <v>1002</v>
      </c>
    </row>
    <row r="15" spans="1:26">
      <c r="A15">
        <v>77</v>
      </c>
      <c r="B15" t="s">
        <v>1054</v>
      </c>
      <c r="C15" t="s">
        <v>1055</v>
      </c>
      <c r="D15" t="s">
        <v>1056</v>
      </c>
      <c r="E15" t="s">
        <v>998</v>
      </c>
      <c r="F15" t="s">
        <v>1057</v>
      </c>
      <c r="G15" t="s">
        <v>159</v>
      </c>
      <c r="H15" t="s">
        <v>11</v>
      </c>
      <c r="I15">
        <v>1</v>
      </c>
      <c r="K15" s="9">
        <v>94.5</v>
      </c>
      <c r="L15" s="9">
        <v>16.8</v>
      </c>
      <c r="M15" s="9">
        <v>13.8</v>
      </c>
      <c r="N15" t="s">
        <v>15</v>
      </c>
      <c r="Q15" s="9">
        <v>93</v>
      </c>
      <c r="S15" s="7">
        <v>43</v>
      </c>
      <c r="V15" s="10" t="s">
        <v>1135</v>
      </c>
      <c r="X15" s="10" t="s">
        <v>1136</v>
      </c>
      <c r="Y15" s="10" t="s">
        <v>1137</v>
      </c>
      <c r="Z15" t="s">
        <v>56</v>
      </c>
    </row>
    <row r="16" spans="1:26">
      <c r="A16">
        <v>78</v>
      </c>
      <c r="B16" t="s">
        <v>1054</v>
      </c>
      <c r="C16" t="s">
        <v>1055</v>
      </c>
      <c r="D16" t="s">
        <v>1056</v>
      </c>
      <c r="E16" t="s">
        <v>998</v>
      </c>
      <c r="F16" t="s">
        <v>1057</v>
      </c>
      <c r="G16" t="s">
        <v>163</v>
      </c>
      <c r="H16" t="s">
        <v>11</v>
      </c>
      <c r="I16">
        <v>1</v>
      </c>
      <c r="K16" s="9">
        <v>97</v>
      </c>
      <c r="L16" s="9">
        <v>17.5</v>
      </c>
      <c r="M16" s="9">
        <v>14.5</v>
      </c>
      <c r="N16" t="s">
        <v>15</v>
      </c>
      <c r="Q16" s="9">
        <v>95.5</v>
      </c>
      <c r="S16" s="7">
        <v>43.5</v>
      </c>
      <c r="V16" s="10" t="s">
        <v>1138</v>
      </c>
      <c r="X16" s="10" t="s">
        <v>1139</v>
      </c>
      <c r="Y16" s="10" t="s">
        <v>1137</v>
      </c>
      <c r="Z16" t="s">
        <v>56</v>
      </c>
    </row>
    <row r="17" spans="1:26">
      <c r="A17">
        <v>51</v>
      </c>
      <c r="B17" t="s">
        <v>1140</v>
      </c>
      <c r="C17" t="s">
        <v>1141</v>
      </c>
      <c r="D17" t="s">
        <v>1142</v>
      </c>
      <c r="E17" t="s">
        <v>998</v>
      </c>
      <c r="F17" t="s">
        <v>1143</v>
      </c>
      <c r="G17" t="s">
        <v>159</v>
      </c>
      <c r="H17" t="s">
        <v>11</v>
      </c>
      <c r="I17">
        <v>1</v>
      </c>
      <c r="K17" s="9">
        <v>29.5</v>
      </c>
      <c r="L17" s="9">
        <v>13</v>
      </c>
      <c r="M17" s="9">
        <v>10.4</v>
      </c>
      <c r="N17" t="s">
        <v>15</v>
      </c>
      <c r="Q17" s="9">
        <v>28.5</v>
      </c>
      <c r="S17" s="7">
        <v>56</v>
      </c>
      <c r="V17" s="10" t="s">
        <v>1219</v>
      </c>
      <c r="X17" s="10" t="s">
        <v>1220</v>
      </c>
      <c r="Y17" s="10" t="s">
        <v>1137</v>
      </c>
      <c r="Z17" t="s">
        <v>56</v>
      </c>
    </row>
    <row r="18" spans="1:26">
      <c r="A18">
        <v>52</v>
      </c>
      <c r="B18" t="s">
        <v>1140</v>
      </c>
      <c r="C18" t="s">
        <v>1141</v>
      </c>
      <c r="D18" t="s">
        <v>1142</v>
      </c>
      <c r="E18" t="s">
        <v>998</v>
      </c>
      <c r="F18" t="s">
        <v>1143</v>
      </c>
      <c r="G18" t="s">
        <v>163</v>
      </c>
      <c r="H18" t="s">
        <v>11</v>
      </c>
      <c r="I18">
        <v>1</v>
      </c>
      <c r="K18" s="9">
        <v>31</v>
      </c>
      <c r="L18" s="9">
        <v>13.8</v>
      </c>
      <c r="M18" s="9">
        <v>11</v>
      </c>
      <c r="N18" t="s">
        <v>15</v>
      </c>
      <c r="Q18" s="9">
        <v>30</v>
      </c>
      <c r="S18" s="7">
        <v>56.5</v>
      </c>
      <c r="V18" s="10" t="s">
        <v>1221</v>
      </c>
      <c r="X18" s="10" t="s">
        <v>1222</v>
      </c>
      <c r="Y18" s="10" t="s">
        <v>1137</v>
      </c>
      <c r="Z18" t="s">
        <v>56</v>
      </c>
    </row>
  </sheetData>
  <conditionalFormatting sqref="H2:H18">
    <cfRule type="containsText" dxfId="0" priority="1" operator="containsText" text="전망">
      <formula>NOT(ISERROR(SEARCH("전망",H2)))</formula>
    </cfRule>
    <cfRule type="containsText" dxfId="1" priority="2" operator="containsText" text="확정">
      <formula>NOT(ISERROR(SEARCH("확정",H2)))</formula>
    </cfRule>
  </conditionalFormatting>
  <hyperlinks>
    <hyperlink ref="Y14" r:id="rId1"/>
  </hyperlinks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A5A5A5"/>
  </sheetPr>
  <dimension ref="A1:J37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8.7109375" style="12" customWidth="1"/>
    <col min="3" max="3" width="22.7109375" style="12" customWidth="1"/>
    <col min="4" max="4" width="20.7109375" style="12" customWidth="1"/>
    <col min="5" max="5" width="12.7109375" style="12" customWidth="1"/>
    <col min="6" max="6" width="13.7109375" style="12" customWidth="1"/>
    <col min="7" max="7" width="11.7109375" style="12" customWidth="1"/>
    <col min="8" max="8" width="48.7109375" style="10" customWidth="1"/>
    <col min="9" max="10" width="20.7109375" style="12" customWidth="1"/>
  </cols>
  <sheetData>
    <row r="1" spans="1:10" ht="32" customHeight="1">
      <c r="A1" s="6" t="s">
        <v>22</v>
      </c>
      <c r="B1" s="6" t="s">
        <v>23</v>
      </c>
      <c r="C1" s="6" t="s">
        <v>24</v>
      </c>
      <c r="D1" s="6" t="s">
        <v>25</v>
      </c>
      <c r="E1" s="6" t="s">
        <v>1494</v>
      </c>
      <c r="F1" s="6" t="s">
        <v>26</v>
      </c>
      <c r="G1" s="6" t="s">
        <v>1495</v>
      </c>
      <c r="H1" s="6" t="s">
        <v>1496</v>
      </c>
      <c r="I1" s="6" t="s">
        <v>44</v>
      </c>
      <c r="J1" s="6" t="s">
        <v>1497</v>
      </c>
    </row>
    <row r="2" spans="1:10">
      <c r="A2" s="12" t="s">
        <v>1498</v>
      </c>
      <c r="B2" s="12" t="s">
        <v>1499</v>
      </c>
      <c r="C2" s="12" t="s">
        <v>1500</v>
      </c>
      <c r="D2" s="12" t="s">
        <v>1501</v>
      </c>
      <c r="E2" s="12" t="s">
        <v>1502</v>
      </c>
      <c r="G2" s="12">
        <v>0</v>
      </c>
      <c r="H2" s="10" t="s">
        <v>1503</v>
      </c>
      <c r="I2" s="12" t="s">
        <v>1504</v>
      </c>
      <c r="J2" s="12" t="s">
        <v>1504</v>
      </c>
    </row>
    <row r="3" spans="1:10">
      <c r="A3" s="12" t="s">
        <v>1505</v>
      </c>
      <c r="B3" s="12" t="s">
        <v>1506</v>
      </c>
      <c r="C3" s="12" t="s">
        <v>1507</v>
      </c>
      <c r="D3" s="12" t="s">
        <v>1501</v>
      </c>
      <c r="E3" s="12" t="s">
        <v>1502</v>
      </c>
      <c r="G3" s="12">
        <v>0</v>
      </c>
      <c r="H3" s="10" t="s">
        <v>1508</v>
      </c>
      <c r="I3" s="12" t="s">
        <v>1504</v>
      </c>
      <c r="J3" s="12" t="s">
        <v>1504</v>
      </c>
    </row>
    <row r="4" spans="1:10">
      <c r="A4" s="12" t="s">
        <v>45</v>
      </c>
      <c r="B4" s="12" t="s">
        <v>46</v>
      </c>
      <c r="C4" s="12" t="s">
        <v>47</v>
      </c>
      <c r="D4" s="12" t="s">
        <v>48</v>
      </c>
      <c r="E4" s="12" t="s">
        <v>1502</v>
      </c>
      <c r="F4" s="12" t="s">
        <v>49</v>
      </c>
      <c r="G4" s="12">
        <v>1</v>
      </c>
      <c r="H4" s="10" t="s">
        <v>1509</v>
      </c>
      <c r="I4" s="12" t="s">
        <v>1504</v>
      </c>
      <c r="J4" s="12" t="s">
        <v>1504</v>
      </c>
    </row>
    <row r="5" spans="1:10">
      <c r="A5" s="12" t="s">
        <v>1510</v>
      </c>
      <c r="B5" s="12" t="s">
        <v>1511</v>
      </c>
      <c r="C5" s="12" t="s">
        <v>1512</v>
      </c>
      <c r="D5" s="12" t="s">
        <v>48</v>
      </c>
      <c r="E5" s="12" t="s">
        <v>1502</v>
      </c>
      <c r="G5" s="12">
        <v>0</v>
      </c>
      <c r="H5" s="10" t="s">
        <v>1513</v>
      </c>
      <c r="I5" s="12" t="s">
        <v>1514</v>
      </c>
      <c r="J5" s="12" t="s">
        <v>1514</v>
      </c>
    </row>
    <row r="6" spans="1:10">
      <c r="A6" s="12" t="s">
        <v>165</v>
      </c>
      <c r="B6" s="12" t="s">
        <v>166</v>
      </c>
      <c r="C6" s="12" t="s">
        <v>167</v>
      </c>
      <c r="D6" s="12" t="s">
        <v>48</v>
      </c>
      <c r="E6" s="12" t="s">
        <v>1502</v>
      </c>
      <c r="F6" s="12" t="s">
        <v>168</v>
      </c>
      <c r="G6" s="12">
        <v>1</v>
      </c>
      <c r="H6" s="10" t="s">
        <v>1515</v>
      </c>
      <c r="I6" s="12" t="s">
        <v>1504</v>
      </c>
      <c r="J6" s="12" t="s">
        <v>1504</v>
      </c>
    </row>
    <row r="7" spans="1:10">
      <c r="A7" s="12" t="s">
        <v>258</v>
      </c>
      <c r="B7" s="12" t="s">
        <v>259</v>
      </c>
      <c r="C7" s="12" t="s">
        <v>260</v>
      </c>
      <c r="D7" s="12" t="s">
        <v>48</v>
      </c>
      <c r="E7" s="12" t="s">
        <v>1502</v>
      </c>
      <c r="F7" s="12" t="s">
        <v>258</v>
      </c>
      <c r="G7" s="12">
        <v>1</v>
      </c>
      <c r="H7" s="10" t="s">
        <v>1516</v>
      </c>
      <c r="I7" s="12" t="s">
        <v>1504</v>
      </c>
      <c r="J7" s="12" t="s">
        <v>1504</v>
      </c>
    </row>
    <row r="8" spans="1:10">
      <c r="A8" s="12" t="s">
        <v>342</v>
      </c>
      <c r="B8" s="12" t="s">
        <v>343</v>
      </c>
      <c r="C8" s="12" t="s">
        <v>344</v>
      </c>
      <c r="D8" s="12" t="s">
        <v>48</v>
      </c>
      <c r="E8" s="12" t="s">
        <v>1502</v>
      </c>
      <c r="F8" s="12" t="s">
        <v>345</v>
      </c>
      <c r="G8" s="12">
        <v>1</v>
      </c>
      <c r="H8" s="10" t="s">
        <v>1517</v>
      </c>
      <c r="I8" s="12" t="s">
        <v>1504</v>
      </c>
      <c r="J8" s="12" t="s">
        <v>1504</v>
      </c>
    </row>
    <row r="9" spans="1:10">
      <c r="A9" s="12" t="s">
        <v>1518</v>
      </c>
      <c r="B9" s="12" t="s">
        <v>1519</v>
      </c>
      <c r="C9" s="12" t="s">
        <v>1520</v>
      </c>
      <c r="D9" s="12" t="s">
        <v>48</v>
      </c>
      <c r="E9" s="12" t="s">
        <v>1521</v>
      </c>
      <c r="F9" s="12" t="s">
        <v>1522</v>
      </c>
      <c r="G9" s="12">
        <v>1</v>
      </c>
      <c r="H9" s="10" t="s">
        <v>1523</v>
      </c>
      <c r="I9" s="12" t="s">
        <v>1514</v>
      </c>
      <c r="J9" s="12" t="s">
        <v>1514</v>
      </c>
    </row>
    <row r="10" spans="1:10">
      <c r="A10" s="12" t="s">
        <v>423</v>
      </c>
      <c r="B10" s="12" t="s">
        <v>424</v>
      </c>
      <c r="C10" s="12" t="s">
        <v>425</v>
      </c>
      <c r="D10" s="12" t="s">
        <v>48</v>
      </c>
      <c r="E10" s="12" t="s">
        <v>1502</v>
      </c>
      <c r="F10" s="12" t="s">
        <v>426</v>
      </c>
      <c r="G10" s="12">
        <v>1</v>
      </c>
      <c r="H10" s="10" t="s">
        <v>1524</v>
      </c>
      <c r="I10" s="12" t="s">
        <v>1504</v>
      </c>
      <c r="J10" s="12" t="s">
        <v>1504</v>
      </c>
    </row>
    <row r="11" spans="1:10">
      <c r="A11" s="12" t="s">
        <v>476</v>
      </c>
      <c r="B11" s="12" t="s">
        <v>476</v>
      </c>
      <c r="C11" s="12" t="s">
        <v>476</v>
      </c>
      <c r="D11" s="12" t="s">
        <v>477</v>
      </c>
      <c r="E11" s="12" t="s">
        <v>1502</v>
      </c>
      <c r="F11" s="12" t="s">
        <v>476</v>
      </c>
      <c r="G11" s="12">
        <v>1</v>
      </c>
      <c r="H11" s="10" t="s">
        <v>1525</v>
      </c>
      <c r="I11" s="12" t="s">
        <v>1504</v>
      </c>
      <c r="J11" s="12" t="s">
        <v>1504</v>
      </c>
    </row>
    <row r="12" spans="1:10">
      <c r="A12" s="12" t="s">
        <v>517</v>
      </c>
      <c r="B12" s="12" t="s">
        <v>518</v>
      </c>
      <c r="C12" s="12" t="s">
        <v>519</v>
      </c>
      <c r="D12" s="12" t="s">
        <v>477</v>
      </c>
      <c r="E12" s="12" t="s">
        <v>1526</v>
      </c>
      <c r="F12" s="12" t="s">
        <v>517</v>
      </c>
      <c r="G12" s="12">
        <v>1</v>
      </c>
      <c r="H12" s="10" t="s">
        <v>1527</v>
      </c>
      <c r="I12" s="12" t="s">
        <v>1514</v>
      </c>
      <c r="J12" s="12" t="s">
        <v>1514</v>
      </c>
    </row>
    <row r="13" spans="1:10">
      <c r="A13" s="12" t="s">
        <v>535</v>
      </c>
      <c r="B13" s="12" t="s">
        <v>536</v>
      </c>
      <c r="C13" s="12" t="s">
        <v>537</v>
      </c>
      <c r="D13" s="12" t="s">
        <v>477</v>
      </c>
      <c r="E13" s="12" t="s">
        <v>1502</v>
      </c>
      <c r="F13" s="12" t="s">
        <v>538</v>
      </c>
      <c r="G13" s="12">
        <v>1</v>
      </c>
      <c r="H13" s="10" t="s">
        <v>1528</v>
      </c>
      <c r="I13" s="12" t="s">
        <v>1504</v>
      </c>
      <c r="J13" s="12" t="s">
        <v>1504</v>
      </c>
    </row>
    <row r="14" spans="1:10">
      <c r="A14" s="12" t="s">
        <v>581</v>
      </c>
      <c r="B14" s="12" t="s">
        <v>582</v>
      </c>
      <c r="C14" s="12" t="s">
        <v>583</v>
      </c>
      <c r="D14" s="12" t="s">
        <v>477</v>
      </c>
      <c r="E14" s="12" t="s">
        <v>1502</v>
      </c>
      <c r="F14" s="12" t="s">
        <v>584</v>
      </c>
      <c r="G14" s="12">
        <v>1</v>
      </c>
      <c r="H14" s="10" t="s">
        <v>1529</v>
      </c>
      <c r="I14" s="12" t="s">
        <v>1514</v>
      </c>
      <c r="J14" s="12" t="s">
        <v>1514</v>
      </c>
    </row>
    <row r="15" spans="1:10">
      <c r="A15" s="12" t="s">
        <v>627</v>
      </c>
      <c r="B15" s="12" t="s">
        <v>628</v>
      </c>
      <c r="C15" s="12" t="s">
        <v>627</v>
      </c>
      <c r="D15" s="12" t="s">
        <v>477</v>
      </c>
      <c r="E15" s="12" t="s">
        <v>1502</v>
      </c>
      <c r="F15" s="12" t="s">
        <v>629</v>
      </c>
      <c r="G15" s="12">
        <v>1</v>
      </c>
      <c r="H15" s="10" t="s">
        <v>1530</v>
      </c>
      <c r="I15" s="12" t="s">
        <v>1504</v>
      </c>
      <c r="J15" s="12" t="s">
        <v>1504</v>
      </c>
    </row>
    <row r="16" spans="1:10">
      <c r="A16" s="12" t="s">
        <v>730</v>
      </c>
      <c r="B16" s="12" t="s">
        <v>731</v>
      </c>
      <c r="C16" s="12" t="s">
        <v>732</v>
      </c>
      <c r="D16" s="12" t="s">
        <v>733</v>
      </c>
      <c r="E16" s="12" t="s">
        <v>1502</v>
      </c>
      <c r="F16" s="12" t="s">
        <v>734</v>
      </c>
      <c r="G16" s="12">
        <v>1</v>
      </c>
      <c r="H16" s="10" t="s">
        <v>1531</v>
      </c>
      <c r="I16" s="12" t="s">
        <v>1514</v>
      </c>
      <c r="J16" s="12" t="s">
        <v>1514</v>
      </c>
    </row>
    <row r="17" spans="1:10">
      <c r="A17" s="12" t="s">
        <v>769</v>
      </c>
      <c r="B17" s="12" t="s">
        <v>770</v>
      </c>
      <c r="C17" s="12" t="s">
        <v>771</v>
      </c>
      <c r="D17" s="12" t="s">
        <v>733</v>
      </c>
      <c r="E17" s="12" t="s">
        <v>1502</v>
      </c>
      <c r="F17" s="12" t="s">
        <v>772</v>
      </c>
      <c r="G17" s="12">
        <v>1</v>
      </c>
      <c r="H17" s="10" t="s">
        <v>1532</v>
      </c>
      <c r="I17" s="12" t="s">
        <v>1514</v>
      </c>
      <c r="J17" s="12" t="s">
        <v>1514</v>
      </c>
    </row>
    <row r="18" spans="1:10">
      <c r="A18" s="12" t="s">
        <v>813</v>
      </c>
      <c r="B18" s="12" t="s">
        <v>813</v>
      </c>
      <c r="C18" s="12" t="s">
        <v>814</v>
      </c>
      <c r="D18" s="12" t="s">
        <v>733</v>
      </c>
      <c r="E18" s="12" t="s">
        <v>1533</v>
      </c>
      <c r="F18" s="12" t="s">
        <v>815</v>
      </c>
      <c r="G18" s="12">
        <v>1</v>
      </c>
      <c r="H18" s="10" t="s">
        <v>1534</v>
      </c>
      <c r="I18" s="12" t="s">
        <v>1514</v>
      </c>
      <c r="J18" s="12" t="s">
        <v>1514</v>
      </c>
    </row>
    <row r="19" spans="1:10">
      <c r="A19" s="12" t="s">
        <v>1535</v>
      </c>
      <c r="B19" s="12" t="s">
        <v>1535</v>
      </c>
      <c r="C19" s="12" t="s">
        <v>1535</v>
      </c>
      <c r="D19" s="12" t="s">
        <v>733</v>
      </c>
      <c r="E19" s="12" t="s">
        <v>1521</v>
      </c>
      <c r="F19" s="12" t="s">
        <v>1535</v>
      </c>
      <c r="G19" s="12">
        <v>1</v>
      </c>
      <c r="H19" s="10" t="s">
        <v>1536</v>
      </c>
      <c r="I19" s="12" t="s">
        <v>1504</v>
      </c>
      <c r="J19" s="12" t="s">
        <v>1504</v>
      </c>
    </row>
    <row r="20" spans="1:10">
      <c r="A20" s="12" t="s">
        <v>821</v>
      </c>
      <c r="B20" s="12" t="s">
        <v>821</v>
      </c>
      <c r="C20" s="12" t="s">
        <v>822</v>
      </c>
      <c r="D20" s="12" t="s">
        <v>733</v>
      </c>
      <c r="E20" s="12" t="s">
        <v>1502</v>
      </c>
      <c r="F20" s="12" t="s">
        <v>823</v>
      </c>
      <c r="G20" s="12">
        <v>1</v>
      </c>
      <c r="H20" s="10" t="s">
        <v>1537</v>
      </c>
      <c r="I20" s="12" t="s">
        <v>1514</v>
      </c>
      <c r="J20" s="12" t="s">
        <v>1514</v>
      </c>
    </row>
    <row r="21" spans="1:10">
      <c r="A21" s="12" t="s">
        <v>854</v>
      </c>
      <c r="B21" s="12" t="s">
        <v>855</v>
      </c>
      <c r="C21" s="12" t="s">
        <v>856</v>
      </c>
      <c r="D21" s="12" t="s">
        <v>733</v>
      </c>
      <c r="E21" s="12" t="s">
        <v>1502</v>
      </c>
      <c r="F21" s="12" t="s">
        <v>857</v>
      </c>
      <c r="G21" s="12">
        <v>1</v>
      </c>
      <c r="H21" s="10" t="s">
        <v>1538</v>
      </c>
      <c r="I21" s="12" t="s">
        <v>1514</v>
      </c>
      <c r="J21" s="12" t="s">
        <v>1514</v>
      </c>
    </row>
    <row r="22" spans="1:10">
      <c r="A22" s="12" t="s">
        <v>893</v>
      </c>
      <c r="B22" s="12" t="s">
        <v>893</v>
      </c>
      <c r="C22" s="12" t="s">
        <v>893</v>
      </c>
      <c r="D22" s="12" t="s">
        <v>733</v>
      </c>
      <c r="E22" s="12" t="s">
        <v>1533</v>
      </c>
      <c r="F22" s="12" t="s">
        <v>894</v>
      </c>
      <c r="G22" s="12">
        <v>1</v>
      </c>
      <c r="H22" s="10" t="s">
        <v>1539</v>
      </c>
      <c r="I22" s="12" t="s">
        <v>1504</v>
      </c>
      <c r="J22" s="12" t="s">
        <v>1504</v>
      </c>
    </row>
    <row r="23" spans="1:10">
      <c r="A23" s="12" t="s">
        <v>995</v>
      </c>
      <c r="B23" s="12" t="s">
        <v>996</v>
      </c>
      <c r="C23" s="12" t="s">
        <v>997</v>
      </c>
      <c r="D23" s="12" t="s">
        <v>998</v>
      </c>
      <c r="E23" s="12" t="s">
        <v>1540</v>
      </c>
      <c r="F23" s="12" t="s">
        <v>999</v>
      </c>
      <c r="G23" s="12">
        <v>1</v>
      </c>
      <c r="H23" s="10" t="s">
        <v>1541</v>
      </c>
      <c r="I23" s="12" t="s">
        <v>1514</v>
      </c>
      <c r="J23" s="12" t="s">
        <v>1514</v>
      </c>
    </row>
    <row r="24" spans="1:10">
      <c r="A24" s="12" t="s">
        <v>1009</v>
      </c>
      <c r="B24" s="12" t="s">
        <v>1010</v>
      </c>
      <c r="C24" s="12" t="s">
        <v>1011</v>
      </c>
      <c r="D24" s="12" t="s">
        <v>998</v>
      </c>
      <c r="E24" s="12" t="s">
        <v>1502</v>
      </c>
      <c r="F24" s="12" t="s">
        <v>1012</v>
      </c>
      <c r="G24" s="12">
        <v>1</v>
      </c>
      <c r="H24" s="10" t="s">
        <v>1542</v>
      </c>
      <c r="I24" s="12" t="s">
        <v>1504</v>
      </c>
      <c r="J24" s="12" t="s">
        <v>1504</v>
      </c>
    </row>
    <row r="25" spans="1:10">
      <c r="A25" s="12" t="s">
        <v>1054</v>
      </c>
      <c r="B25" s="12" t="s">
        <v>1055</v>
      </c>
      <c r="C25" s="12" t="s">
        <v>1056</v>
      </c>
      <c r="D25" s="12" t="s">
        <v>998</v>
      </c>
      <c r="E25" s="12" t="s">
        <v>1543</v>
      </c>
      <c r="F25" s="12" t="s">
        <v>1057</v>
      </c>
      <c r="G25" s="12">
        <v>1</v>
      </c>
      <c r="H25" s="10" t="s">
        <v>1544</v>
      </c>
      <c r="I25" s="12" t="s">
        <v>1504</v>
      </c>
      <c r="J25" s="12" t="s">
        <v>1504</v>
      </c>
    </row>
    <row r="26" spans="1:10">
      <c r="A26" s="12" t="s">
        <v>1140</v>
      </c>
      <c r="B26" s="12" t="s">
        <v>1141</v>
      </c>
      <c r="C26" s="12" t="s">
        <v>1142</v>
      </c>
      <c r="D26" s="12" t="s">
        <v>998</v>
      </c>
      <c r="E26" s="12" t="s">
        <v>1543</v>
      </c>
      <c r="F26" s="12" t="s">
        <v>1143</v>
      </c>
      <c r="G26" s="12">
        <v>1</v>
      </c>
      <c r="H26" s="10" t="s">
        <v>1545</v>
      </c>
      <c r="I26" s="12" t="s">
        <v>1504</v>
      </c>
      <c r="J26" s="12" t="s">
        <v>1504</v>
      </c>
    </row>
    <row r="27" spans="1:10">
      <c r="A27" s="12" t="s">
        <v>1223</v>
      </c>
      <c r="B27" s="12" t="s">
        <v>1224</v>
      </c>
      <c r="C27" s="12" t="s">
        <v>1225</v>
      </c>
      <c r="D27" s="12" t="s">
        <v>998</v>
      </c>
      <c r="E27" s="12" t="s">
        <v>1502</v>
      </c>
      <c r="F27" s="12" t="s">
        <v>1223</v>
      </c>
      <c r="G27" s="12">
        <v>1</v>
      </c>
      <c r="H27" s="10" t="s">
        <v>1546</v>
      </c>
      <c r="I27" s="12" t="s">
        <v>1504</v>
      </c>
      <c r="J27" s="12" t="s">
        <v>1504</v>
      </c>
    </row>
    <row r="28" spans="1:10">
      <c r="A28" s="12" t="s">
        <v>1258</v>
      </c>
      <c r="B28" s="12" t="s">
        <v>1259</v>
      </c>
      <c r="C28" s="12" t="s">
        <v>1260</v>
      </c>
      <c r="D28" s="12" t="s">
        <v>1261</v>
      </c>
      <c r="E28" s="12" t="s">
        <v>1502</v>
      </c>
      <c r="F28" s="12" t="s">
        <v>1262</v>
      </c>
      <c r="G28" s="12">
        <v>1</v>
      </c>
      <c r="H28" s="10" t="s">
        <v>1547</v>
      </c>
      <c r="I28" s="12" t="s">
        <v>1514</v>
      </c>
      <c r="J28" s="12" t="s">
        <v>1514</v>
      </c>
    </row>
    <row r="29" spans="1:10">
      <c r="A29" s="12" t="s">
        <v>1296</v>
      </c>
      <c r="B29" s="12" t="s">
        <v>1297</v>
      </c>
      <c r="C29" s="12" t="s">
        <v>1298</v>
      </c>
      <c r="D29" s="12" t="s">
        <v>1261</v>
      </c>
      <c r="E29" s="12" t="s">
        <v>1502</v>
      </c>
      <c r="F29" s="12" t="s">
        <v>1299</v>
      </c>
      <c r="G29" s="12">
        <v>1</v>
      </c>
      <c r="H29" s="10" t="s">
        <v>1548</v>
      </c>
      <c r="I29" s="12" t="s">
        <v>1504</v>
      </c>
      <c r="J29" s="12" t="s">
        <v>1504</v>
      </c>
    </row>
    <row r="30" spans="1:10">
      <c r="A30" s="12" t="s">
        <v>1334</v>
      </c>
      <c r="B30" s="12" t="s">
        <v>1335</v>
      </c>
      <c r="C30" s="12" t="s">
        <v>1336</v>
      </c>
      <c r="D30" s="12" t="s">
        <v>1261</v>
      </c>
      <c r="E30" s="12" t="s">
        <v>1502</v>
      </c>
      <c r="F30" s="12" t="s">
        <v>1337</v>
      </c>
      <c r="G30" s="12">
        <v>1</v>
      </c>
      <c r="H30" s="10" t="s">
        <v>1549</v>
      </c>
      <c r="I30" s="12" t="s">
        <v>1504</v>
      </c>
      <c r="J30" s="12" t="s">
        <v>1504</v>
      </c>
    </row>
    <row r="31" spans="1:10">
      <c r="A31" s="12" t="s">
        <v>1376</v>
      </c>
      <c r="B31" s="12" t="s">
        <v>1377</v>
      </c>
      <c r="C31" s="12" t="s">
        <v>1378</v>
      </c>
      <c r="D31" s="12" t="s">
        <v>1379</v>
      </c>
      <c r="E31" s="12" t="s">
        <v>1502</v>
      </c>
      <c r="F31" s="12" t="s">
        <v>1380</v>
      </c>
      <c r="G31" s="12">
        <v>1</v>
      </c>
      <c r="H31" s="10" t="s">
        <v>1550</v>
      </c>
      <c r="I31" s="12" t="s">
        <v>1504</v>
      </c>
      <c r="J31" s="12" t="s">
        <v>1504</v>
      </c>
    </row>
    <row r="32" spans="1:10">
      <c r="A32" s="12" t="s">
        <v>1551</v>
      </c>
      <c r="B32" s="12" t="s">
        <v>1552</v>
      </c>
      <c r="C32" s="12" t="s">
        <v>1553</v>
      </c>
      <c r="D32" s="12" t="s">
        <v>1379</v>
      </c>
      <c r="E32" s="12" t="s">
        <v>1540</v>
      </c>
      <c r="F32" s="12" t="s">
        <v>1554</v>
      </c>
      <c r="G32" s="12">
        <v>1</v>
      </c>
      <c r="H32" s="10" t="s">
        <v>1555</v>
      </c>
      <c r="I32" s="12" t="s">
        <v>1504</v>
      </c>
      <c r="J32" s="12" t="s">
        <v>1504</v>
      </c>
    </row>
    <row r="33" spans="1:10">
      <c r="A33" s="12" t="s">
        <v>1556</v>
      </c>
      <c r="B33" s="12" t="s">
        <v>1557</v>
      </c>
      <c r="C33" s="12" t="s">
        <v>1558</v>
      </c>
      <c r="D33" s="12" t="s">
        <v>1379</v>
      </c>
      <c r="E33" s="12" t="s">
        <v>1502</v>
      </c>
      <c r="G33" s="12">
        <v>0</v>
      </c>
      <c r="H33" s="10" t="s">
        <v>1559</v>
      </c>
      <c r="I33" s="12" t="s">
        <v>1504</v>
      </c>
      <c r="J33" s="12" t="s">
        <v>1514</v>
      </c>
    </row>
    <row r="34" spans="1:10">
      <c r="A34" s="12" t="s">
        <v>1407</v>
      </c>
      <c r="B34" s="12" t="s">
        <v>1408</v>
      </c>
      <c r="C34" s="12" t="s">
        <v>1409</v>
      </c>
      <c r="D34" s="12" t="s">
        <v>1410</v>
      </c>
      <c r="E34" s="12" t="s">
        <v>1502</v>
      </c>
      <c r="F34" s="12" t="s">
        <v>1411</v>
      </c>
      <c r="G34" s="12">
        <v>1</v>
      </c>
      <c r="H34" s="10" t="s">
        <v>1560</v>
      </c>
      <c r="I34" s="12" t="s">
        <v>1514</v>
      </c>
      <c r="J34" s="12" t="s">
        <v>1514</v>
      </c>
    </row>
    <row r="35" spans="1:10">
      <c r="A35" s="12" t="s">
        <v>1440</v>
      </c>
      <c r="B35" s="12" t="s">
        <v>1441</v>
      </c>
      <c r="C35" s="12" t="s">
        <v>1442</v>
      </c>
      <c r="D35" s="12" t="s">
        <v>1410</v>
      </c>
      <c r="E35" s="12" t="s">
        <v>1502</v>
      </c>
      <c r="F35" s="12" t="s">
        <v>1443</v>
      </c>
      <c r="G35" s="12">
        <v>1</v>
      </c>
      <c r="H35" s="10" t="s">
        <v>1561</v>
      </c>
      <c r="I35" s="12" t="s">
        <v>1514</v>
      </c>
      <c r="J35" s="12" t="s">
        <v>1514</v>
      </c>
    </row>
    <row r="36" spans="1:10">
      <c r="A36" s="12" t="s">
        <v>1562</v>
      </c>
      <c r="B36" s="12" t="s">
        <v>1563</v>
      </c>
      <c r="C36" s="12" t="s">
        <v>1564</v>
      </c>
      <c r="D36" s="12" t="s">
        <v>1410</v>
      </c>
      <c r="E36" s="12" t="s">
        <v>1565</v>
      </c>
      <c r="F36" s="12" t="s">
        <v>1566</v>
      </c>
      <c r="G36" s="12">
        <v>1</v>
      </c>
      <c r="H36" s="10" t="s">
        <v>1567</v>
      </c>
      <c r="I36" s="12" t="s">
        <v>1514</v>
      </c>
      <c r="J36" s="12" t="s">
        <v>1514</v>
      </c>
    </row>
    <row r="37" spans="1:10">
      <c r="A37" s="12" t="s">
        <v>1459</v>
      </c>
      <c r="B37" s="12" t="s">
        <v>1460</v>
      </c>
      <c r="C37" s="12" t="s">
        <v>1461</v>
      </c>
      <c r="D37" s="12" t="s">
        <v>1410</v>
      </c>
      <c r="E37" s="12" t="s">
        <v>1502</v>
      </c>
      <c r="F37" s="12" t="s">
        <v>1462</v>
      </c>
      <c r="G37" s="12">
        <v>1</v>
      </c>
      <c r="H37" s="10" t="s">
        <v>1568</v>
      </c>
      <c r="I37" s="12" t="s">
        <v>1514</v>
      </c>
      <c r="J37" s="12" t="s">
        <v>1514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B9BD5"/>
  </sheetPr>
  <dimension ref="A1:E2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2" width="24.7109375" customWidth="1"/>
    <col min="3" max="3" width="20.7109375" customWidth="1"/>
    <col min="4" max="4" width="38.7109375" customWidth="1"/>
    <col min="5" max="5" width="42.7109375" customWidth="1"/>
  </cols>
  <sheetData>
    <row r="1" spans="1:5" ht="30" customHeight="1">
      <c r="A1" s="1" t="s">
        <v>1569</v>
      </c>
      <c r="B1" s="1"/>
      <c r="C1" s="1"/>
      <c r="D1" s="1"/>
      <c r="E1" s="1"/>
    </row>
    <row r="3" spans="1:5">
      <c r="A3" s="10" t="s">
        <v>1574</v>
      </c>
      <c r="B3" s="10" t="s">
        <v>21</v>
      </c>
      <c r="C3" s="10" t="s">
        <v>1575</v>
      </c>
      <c r="D3" s="10" t="s">
        <v>21</v>
      </c>
      <c r="E3" s="10"/>
    </row>
    <row r="4" spans="1:5">
      <c r="A4" s="10" t="s">
        <v>1576</v>
      </c>
      <c r="B4" s="10" t="s">
        <v>22</v>
      </c>
      <c r="C4" s="10" t="s">
        <v>1575</v>
      </c>
      <c r="D4" s="10" t="s">
        <v>22</v>
      </c>
      <c r="E4" s="10"/>
    </row>
    <row r="5" spans="1:5">
      <c r="A5" s="10" t="s">
        <v>1577</v>
      </c>
      <c r="B5" s="10" t="s">
        <v>23</v>
      </c>
      <c r="C5" s="10" t="s">
        <v>1575</v>
      </c>
      <c r="D5" s="10" t="s">
        <v>23</v>
      </c>
      <c r="E5" s="10"/>
    </row>
    <row r="6" spans="1:5">
      <c r="A6" s="10" t="s">
        <v>1578</v>
      </c>
      <c r="B6" s="10" t="s">
        <v>24</v>
      </c>
      <c r="C6" s="10" t="s">
        <v>1575</v>
      </c>
      <c r="D6" s="10" t="s">
        <v>24</v>
      </c>
      <c r="E6" s="10"/>
    </row>
    <row r="7" spans="1:5">
      <c r="A7" s="10" t="s">
        <v>1579</v>
      </c>
      <c r="B7" s="10" t="s">
        <v>25</v>
      </c>
      <c r="C7" s="10" t="s">
        <v>1575</v>
      </c>
      <c r="D7" s="10" t="s">
        <v>25</v>
      </c>
      <c r="E7" s="10"/>
    </row>
    <row r="8" spans="1:5">
      <c r="A8" s="10" t="s">
        <v>1580</v>
      </c>
      <c r="B8" s="10" t="s">
        <v>26</v>
      </c>
      <c r="C8" s="10" t="s">
        <v>1575</v>
      </c>
      <c r="D8" s="10" t="s">
        <v>26</v>
      </c>
      <c r="E8" s="10"/>
    </row>
    <row r="9" spans="1:5">
      <c r="A9" s="10" t="s">
        <v>1581</v>
      </c>
      <c r="B9" s="10" t="s">
        <v>27</v>
      </c>
      <c r="C9" s="10" t="s">
        <v>1582</v>
      </c>
      <c r="D9" s="10" t="s">
        <v>1583</v>
      </c>
      <c r="E9" s="10" t="s">
        <v>1584</v>
      </c>
    </row>
    <row r="10" spans="1:5">
      <c r="A10" s="10" t="s">
        <v>1585</v>
      </c>
      <c r="B10" s="10" t="s">
        <v>7</v>
      </c>
      <c r="C10" s="10" t="s">
        <v>1575</v>
      </c>
      <c r="D10" s="10" t="s">
        <v>7</v>
      </c>
      <c r="E10" s="10"/>
    </row>
    <row r="11" spans="1:5">
      <c r="A11" s="10" t="s">
        <v>1586</v>
      </c>
      <c r="B11" s="10" t="s">
        <v>28</v>
      </c>
      <c r="C11" s="10" t="s">
        <v>1587</v>
      </c>
      <c r="D11" s="10" t="s">
        <v>1588</v>
      </c>
      <c r="E11" s="10" t="s">
        <v>1589</v>
      </c>
    </row>
    <row r="12" spans="1:5">
      <c r="A12" s="10" t="s">
        <v>1590</v>
      </c>
      <c r="B12" s="10" t="s">
        <v>29</v>
      </c>
      <c r="C12" s="10" t="s">
        <v>1591</v>
      </c>
      <c r="D12" s="10" t="s">
        <v>29</v>
      </c>
      <c r="E12" s="10" t="s">
        <v>1592</v>
      </c>
    </row>
    <row r="13" spans="1:5">
      <c r="A13" s="10" t="s">
        <v>1593</v>
      </c>
      <c r="B13" s="10" t="s">
        <v>30</v>
      </c>
      <c r="C13" s="10" t="s">
        <v>1594</v>
      </c>
      <c r="D13" s="10" t="s">
        <v>30</v>
      </c>
      <c r="E13" s="10" t="s">
        <v>1595</v>
      </c>
    </row>
    <row r="14" spans="1:5">
      <c r="A14" s="10" t="s">
        <v>1596</v>
      </c>
      <c r="B14" s="10" t="s">
        <v>31</v>
      </c>
      <c r="C14" s="10" t="s">
        <v>1594</v>
      </c>
      <c r="D14" s="10" t="s">
        <v>31</v>
      </c>
      <c r="E14" s="10" t="s">
        <v>1597</v>
      </c>
    </row>
    <row r="15" spans="1:5">
      <c r="A15" s="10" t="s">
        <v>1598</v>
      </c>
      <c r="B15" s="10" t="s">
        <v>32</v>
      </c>
      <c r="C15" s="10" t="s">
        <v>1594</v>
      </c>
      <c r="D15" s="10" t="s">
        <v>32</v>
      </c>
      <c r="E15" s="10" t="s">
        <v>1597</v>
      </c>
    </row>
    <row r="16" spans="1:5">
      <c r="A16" s="10" t="s">
        <v>1599</v>
      </c>
      <c r="B16" s="10" t="s">
        <v>13</v>
      </c>
      <c r="C16" s="10" t="s">
        <v>1600</v>
      </c>
      <c r="D16" s="10" t="s">
        <v>1601</v>
      </c>
      <c r="E16" s="10" t="s">
        <v>1602</v>
      </c>
    </row>
    <row r="17" spans="1:5">
      <c r="A17" s="10" t="s">
        <v>1603</v>
      </c>
      <c r="B17" s="10" t="s">
        <v>33</v>
      </c>
      <c r="C17" s="10" t="s">
        <v>1575</v>
      </c>
      <c r="D17" s="10" t="s">
        <v>33</v>
      </c>
      <c r="E17" s="10"/>
    </row>
    <row r="18" spans="1:5">
      <c r="A18" s="10" t="s">
        <v>1604</v>
      </c>
      <c r="B18" s="10" t="s">
        <v>34</v>
      </c>
      <c r="C18" s="10" t="s">
        <v>1575</v>
      </c>
      <c r="D18" s="10" t="s">
        <v>34</v>
      </c>
      <c r="E18" s="10"/>
    </row>
    <row r="19" spans="1:5">
      <c r="A19" s="10" t="s">
        <v>1605</v>
      </c>
      <c r="B19" s="10" t="s">
        <v>35</v>
      </c>
      <c r="C19" s="10" t="s">
        <v>1575</v>
      </c>
      <c r="D19" s="10" t="s">
        <v>35</v>
      </c>
      <c r="E19" s="10"/>
    </row>
    <row r="20" spans="1:5">
      <c r="A20" s="10" t="s">
        <v>1606</v>
      </c>
      <c r="B20" s="10" t="s">
        <v>36</v>
      </c>
      <c r="C20" s="10" t="s">
        <v>1575</v>
      </c>
      <c r="D20" s="10" t="s">
        <v>36</v>
      </c>
      <c r="E20" s="10"/>
    </row>
    <row r="21" spans="1:5">
      <c r="A21" s="10" t="s">
        <v>1607</v>
      </c>
      <c r="B21" s="10" t="s">
        <v>37</v>
      </c>
      <c r="C21" s="10" t="s">
        <v>1608</v>
      </c>
      <c r="D21" s="10" t="s">
        <v>1609</v>
      </c>
      <c r="E21" s="10" t="s">
        <v>1610</v>
      </c>
    </row>
    <row r="22" spans="1:5">
      <c r="A22" s="10" t="s">
        <v>1611</v>
      </c>
      <c r="B22" s="10" t="s">
        <v>38</v>
      </c>
      <c r="C22" s="10" t="s">
        <v>1608</v>
      </c>
      <c r="D22" s="10" t="s">
        <v>1612</v>
      </c>
      <c r="E22" s="10" t="s">
        <v>1613</v>
      </c>
    </row>
    <row r="23" spans="1:5">
      <c r="A23" s="10" t="s">
        <v>1614</v>
      </c>
      <c r="B23" s="10" t="s">
        <v>39</v>
      </c>
      <c r="C23" s="10" t="s">
        <v>1594</v>
      </c>
      <c r="D23" s="10" t="s">
        <v>1615</v>
      </c>
      <c r="E23" s="10" t="s">
        <v>1595</v>
      </c>
    </row>
    <row r="24" spans="1:5">
      <c r="A24" s="10" t="s">
        <v>1616</v>
      </c>
      <c r="B24" s="10" t="s">
        <v>40</v>
      </c>
      <c r="C24" s="10" t="s">
        <v>1575</v>
      </c>
      <c r="D24" s="10" t="s">
        <v>40</v>
      </c>
      <c r="E24" s="10"/>
    </row>
    <row r="25" spans="1:5">
      <c r="A25" s="10" t="s">
        <v>1617</v>
      </c>
      <c r="B25" s="10" t="s">
        <v>41</v>
      </c>
      <c r="C25" s="10" t="s">
        <v>1575</v>
      </c>
      <c r="D25" s="10" t="s">
        <v>41</v>
      </c>
      <c r="E25" s="10"/>
    </row>
    <row r="26" spans="1:5">
      <c r="A26" s="10" t="s">
        <v>1618</v>
      </c>
      <c r="B26" s="10" t="s">
        <v>42</v>
      </c>
      <c r="C26" s="10" t="s">
        <v>1575</v>
      </c>
      <c r="D26" s="10" t="s">
        <v>42</v>
      </c>
      <c r="E26" s="10"/>
    </row>
    <row r="27" spans="1:5">
      <c r="A27" s="10" t="s">
        <v>1619</v>
      </c>
      <c r="B27" s="10" t="s">
        <v>43</v>
      </c>
      <c r="C27" s="10" t="s">
        <v>1620</v>
      </c>
      <c r="D27" s="10" t="s">
        <v>43</v>
      </c>
      <c r="E27" s="10" t="s">
        <v>1592</v>
      </c>
    </row>
    <row r="28" spans="1:5">
      <c r="A28" s="10" t="s">
        <v>1621</v>
      </c>
      <c r="B28" s="10" t="s">
        <v>44</v>
      </c>
      <c r="C28" s="10" t="s">
        <v>1575</v>
      </c>
      <c r="D28" s="10" t="s">
        <v>44</v>
      </c>
      <c r="E28" s="10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요약</vt:lpstr>
      <vt:lpstr>전체 실적</vt:lpstr>
      <vt:lpstr>확정 실적</vt:lpstr>
      <vt:lpstr>전망치</vt:lpstr>
      <vt:lpstr>기업 마스터</vt:lpstr>
      <vt:lpstr>데이터 사전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Memory Claude 실적 데이터</dc:title>
  <dc:subject>기업별 확정 실적 및 전망치</dc:subject>
  <dc:creator>Memory Claude</dc:creator>
  <dc:description>data/memory_claude.db 기준 2026-09-16 내보내기</dc:description>
  <cp:lastModifiedBy>Memory Claude</cp:lastModifiedBy>
  <dcterms:created xsi:type="dcterms:W3CDTF">2026-09-16T11:03:10Z</dcterms:created>
  <dcterms:modified xsi:type="dcterms:W3CDTF">2026-09-16T11:03:10Z</dcterms:modified>
</cp:coreProperties>
</file>